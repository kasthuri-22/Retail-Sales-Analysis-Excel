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varaj\Downloads\"/>
    </mc:Choice>
  </mc:AlternateContent>
  <xr:revisionPtr revIDLastSave="0" documentId="13_ncr:1_{324F8E99-9255-4BAF-BBE9-E864319E355C}" xr6:coauthVersionLast="47" xr6:coauthVersionMax="47" xr10:uidLastSave="{00000000-0000-0000-0000-000000000000}"/>
  <bookViews>
    <workbookView xWindow="-110" yWindow="-110" windowWidth="19420" windowHeight="10420" firstSheet="1" activeTab="5" xr2:uid="{00000000-000D-0000-FFFF-FFFF00000000}"/>
  </bookViews>
  <sheets>
    <sheet name="Retail_Sales_Data" sheetId="1" r:id="rId1"/>
    <sheet name="Data Exploration" sheetId="2" r:id="rId2"/>
    <sheet name="Statistical Summary " sheetId="3" r:id="rId3"/>
    <sheet name="Pareto Anlysis" sheetId="4" r:id="rId4"/>
    <sheet name="Pivot Analysis " sheetId="5" r:id="rId5"/>
    <sheet name="Dashboard" sheetId="6" r:id="rId6"/>
  </sheets>
  <definedNames>
    <definedName name="_xlchart.v1.0" hidden="1">Retail_Sales_Data!$H$1</definedName>
    <definedName name="_xlchart.v1.1" hidden="1">Retail_Sales_Data!$H$2:$H$101</definedName>
    <definedName name="_xlchart.v1.2" hidden="1">Retail_Sales_Data!$H$1</definedName>
    <definedName name="_xlchart.v1.3" hidden="1">Retail_Sales_Data!$H$2:$H$101</definedName>
    <definedName name="_xlchart.v1.4" hidden="1">Retail_Sales_Data!$H$1</definedName>
    <definedName name="_xlchart.v1.5" hidden="1">Retail_Sales_Data!$H$2:$H$101</definedName>
    <definedName name="_xlchart.v1.6" hidden="1">Retail_Sales_Data!$H$1</definedName>
    <definedName name="_xlchart.v1.7" hidden="1">Retail_Sales_Data!$H$2:$H$101</definedName>
  </definedNames>
  <calcPr calcId="191029"/>
  <pivotCaches>
    <pivotCache cacheId="18" r:id="rId7"/>
  </pivotCaches>
</workbook>
</file>

<file path=xl/calcChain.xml><?xml version="1.0" encoding="utf-8"?>
<calcChain xmlns="http://schemas.openxmlformats.org/spreadsheetml/2006/main">
  <c r="F11" i="4" l="1"/>
  <c r="F6" i="4"/>
  <c r="F8" i="4"/>
  <c r="F10" i="4"/>
  <c r="F9" i="4"/>
  <c r="F7" i="4"/>
  <c r="F5" i="4"/>
  <c r="F4" i="4"/>
  <c r="G4" i="4" s="1"/>
  <c r="F16" i="3"/>
  <c r="F17" i="3"/>
  <c r="F18" i="3"/>
  <c r="F15" i="3"/>
  <c r="F13" i="3"/>
  <c r="G14" i="3"/>
  <c r="G15" i="3"/>
  <c r="G16" i="3"/>
  <c r="G17" i="3"/>
  <c r="G18" i="3"/>
  <c r="G13" i="3"/>
  <c r="D18" i="3"/>
  <c r="E18" i="3" s="1"/>
  <c r="D17" i="3"/>
  <c r="D16" i="3"/>
  <c r="D15" i="3"/>
  <c r="D14" i="3"/>
  <c r="D13" i="3"/>
  <c r="H7" i="3"/>
  <c r="H6" i="3"/>
  <c r="H5" i="3"/>
  <c r="H4" i="3"/>
  <c r="D8" i="3"/>
  <c r="D6" i="3"/>
  <c r="D7" i="3"/>
  <c r="D5" i="3"/>
  <c r="D4" i="3"/>
  <c r="C5" i="2"/>
  <c r="C6" i="2"/>
  <c r="C9" i="2"/>
  <c r="G5" i="4" l="1"/>
  <c r="F14" i="3"/>
  <c r="E13" i="3"/>
  <c r="E14" i="3"/>
  <c r="E15" i="3"/>
  <c r="E16" i="3"/>
  <c r="E17" i="3"/>
  <c r="G6" i="4" l="1"/>
  <c r="G7" i="4" l="1"/>
  <c r="G8" i="4" l="1"/>
  <c r="G9" i="4" l="1"/>
  <c r="G10" i="4" l="1"/>
  <c r="G11" i="4" l="1"/>
  <c r="H4" i="4" s="1"/>
  <c r="H11" i="4" l="1"/>
  <c r="H5" i="4"/>
  <c r="H6" i="4"/>
  <c r="H7" i="4"/>
  <c r="H8" i="4"/>
  <c r="H9" i="4"/>
  <c r="H10" i="4"/>
</calcChain>
</file>

<file path=xl/sharedStrings.xml><?xml version="1.0" encoding="utf-8"?>
<sst xmlns="http://schemas.openxmlformats.org/spreadsheetml/2006/main" count="607" uniqueCount="144">
  <si>
    <t>OrderID</t>
  </si>
  <si>
    <t>Date</t>
  </si>
  <si>
    <t>Region</t>
  </si>
  <si>
    <t>Product</t>
  </si>
  <si>
    <t>Category</t>
  </si>
  <si>
    <t>Quantity</t>
  </si>
  <si>
    <t>Price</t>
  </si>
  <si>
    <t>Revenue</t>
  </si>
  <si>
    <t>Payment</t>
  </si>
  <si>
    <t>DeliveryDays</t>
  </si>
  <si>
    <t>2024-03-17</t>
  </si>
  <si>
    <t>North</t>
  </si>
  <si>
    <t>Laptop</t>
  </si>
  <si>
    <t>Electronics</t>
  </si>
  <si>
    <t>Credit Card</t>
  </si>
  <si>
    <t>2024-02-28</t>
  </si>
  <si>
    <t>Headphones</t>
  </si>
  <si>
    <t>Debit Card</t>
  </si>
  <si>
    <t>2024-03-15</t>
  </si>
  <si>
    <t>Chair</t>
  </si>
  <si>
    <t>Furniture</t>
  </si>
  <si>
    <t>Cash</t>
  </si>
  <si>
    <t>2024-03-01</t>
  </si>
  <si>
    <t>West</t>
  </si>
  <si>
    <t>Printer</t>
  </si>
  <si>
    <t>2024-02-20</t>
  </si>
  <si>
    <t>East</t>
  </si>
  <si>
    <t>2024-01-05</t>
  </si>
  <si>
    <t>Table</t>
  </si>
  <si>
    <t>2024-02-21</t>
  </si>
  <si>
    <t>UPI</t>
  </si>
  <si>
    <t>2024-02-16</t>
  </si>
  <si>
    <t>South</t>
  </si>
  <si>
    <t>2024-01-14</t>
  </si>
  <si>
    <t>2024-01-27</t>
  </si>
  <si>
    <t>2024-01-18</t>
  </si>
  <si>
    <t>Keyboard</t>
  </si>
  <si>
    <t>2024-01-10</t>
  </si>
  <si>
    <t>Phone</t>
  </si>
  <si>
    <t>2024-02-05</t>
  </si>
  <si>
    <t>2024-03-28</t>
  </si>
  <si>
    <t>2024-03-06</t>
  </si>
  <si>
    <t>2024-02-24</t>
  </si>
  <si>
    <t>2024-01-07</t>
  </si>
  <si>
    <t>2024-01-23</t>
  </si>
  <si>
    <t>2024-01-09</t>
  </si>
  <si>
    <t>2024-03-05</t>
  </si>
  <si>
    <t>2024-01-02</t>
  </si>
  <si>
    <t>2024-03-18</t>
  </si>
  <si>
    <t>2024-02-02</t>
  </si>
  <si>
    <t>2024-02-23</t>
  </si>
  <si>
    <t>2024-03-12</t>
  </si>
  <si>
    <t>2024-02-10</t>
  </si>
  <si>
    <t>2024-03-04</t>
  </si>
  <si>
    <t>2024-02-18</t>
  </si>
  <si>
    <t>Monitor</t>
  </si>
  <si>
    <t>2024-01-04</t>
  </si>
  <si>
    <t>2024-01-12</t>
  </si>
  <si>
    <t>2024-02-03</t>
  </si>
  <si>
    <t>2024-02-09</t>
  </si>
  <si>
    <t>2024-01-08</t>
  </si>
  <si>
    <t>2024-01-20</t>
  </si>
  <si>
    <t>2024-03-22</t>
  </si>
  <si>
    <t>2024-02-12</t>
  </si>
  <si>
    <t>2024-02-26</t>
  </si>
  <si>
    <t>2024-03-24</t>
  </si>
  <si>
    <t>2024-03-13</t>
  </si>
  <si>
    <t>2024-01-24</t>
  </si>
  <si>
    <t>2024-01-11</t>
  </si>
  <si>
    <t>2024-02-08</t>
  </si>
  <si>
    <t>2024-01-19</t>
  </si>
  <si>
    <t>2024-01-17</t>
  </si>
  <si>
    <t>2024-03-10</t>
  </si>
  <si>
    <t>2024-01-03</t>
  </si>
  <si>
    <t>2024-01-01</t>
  </si>
  <si>
    <t>2024-02-22</t>
  </si>
  <si>
    <t>2024-03-23</t>
  </si>
  <si>
    <t>2024-03-08</t>
  </si>
  <si>
    <t>2024-02-01</t>
  </si>
  <si>
    <t>2024-03-30</t>
  </si>
  <si>
    <t>2024-02-14</t>
  </si>
  <si>
    <t>2024-02-13</t>
  </si>
  <si>
    <t>2024-01-16</t>
  </si>
  <si>
    <t>2024-02-19</t>
  </si>
  <si>
    <t>2024-01-29</t>
  </si>
  <si>
    <t>2024-03-26</t>
  </si>
  <si>
    <t>2024-01-13</t>
  </si>
  <si>
    <t>2024-03-14</t>
  </si>
  <si>
    <t>2024-03-02</t>
  </si>
  <si>
    <t>2024-01-30</t>
  </si>
  <si>
    <t>Metric</t>
  </si>
  <si>
    <t>Formula</t>
  </si>
  <si>
    <t>Total Orders</t>
  </si>
  <si>
    <t>Total Revenue</t>
  </si>
  <si>
    <t>Average Order Value</t>
  </si>
  <si>
    <t>Number of Products</t>
  </si>
  <si>
    <t>Number of Regions</t>
  </si>
  <si>
    <t>Most Expensive Order</t>
  </si>
  <si>
    <t>Analysis</t>
  </si>
  <si>
    <t>Insight</t>
  </si>
  <si>
    <t>Highest Order</t>
  </si>
  <si>
    <t>Lowest Order</t>
  </si>
  <si>
    <t>Best Region</t>
  </si>
  <si>
    <t>Best Product</t>
  </si>
  <si>
    <t>Most Used Payment Method</t>
  </si>
  <si>
    <t>The highest order value is ₹241752 generated by Laptop sales in the north region.</t>
  </si>
  <si>
    <t>Keyboard , headphones contribute low order frequency</t>
  </si>
  <si>
    <t>Statistic</t>
  </si>
  <si>
    <t>Mean</t>
  </si>
  <si>
    <t>Median</t>
  </si>
  <si>
    <t>Minimum</t>
  </si>
  <si>
    <t>Maximum</t>
  </si>
  <si>
    <t>Standard Deviation</t>
  </si>
  <si>
    <t>REVENUE ANALYSIS</t>
  </si>
  <si>
    <t>25th Percentile</t>
  </si>
  <si>
    <t>50th Percentile</t>
  </si>
  <si>
    <t>75th Percentile</t>
  </si>
  <si>
    <t>90th Percentile</t>
  </si>
  <si>
    <t>75% of customers spend below ₹43536.75</t>
  </si>
  <si>
    <t>PERCENTILE ANALYSIS</t>
  </si>
  <si>
    <t xml:space="preserve">Distributive Insights </t>
  </si>
  <si>
    <t>Revenue Range</t>
  </si>
  <si>
    <t>Frequency</t>
  </si>
  <si>
    <t>0 – 10000</t>
  </si>
  <si>
    <t>10000 – 20000</t>
  </si>
  <si>
    <t>20000 – 30000</t>
  </si>
  <si>
    <t>30000 – 40000</t>
  </si>
  <si>
    <t>40000 – 50000</t>
  </si>
  <si>
    <t>50000+</t>
  </si>
  <si>
    <t>Relative Frequency</t>
  </si>
  <si>
    <t>Cumulative Frequency</t>
  </si>
  <si>
    <t>Cum%</t>
  </si>
  <si>
    <t xml:space="preserve">DATA EXPLORATION </t>
  </si>
  <si>
    <t>PARETO ANALYSIS</t>
  </si>
  <si>
    <t>Cumulative Revenue</t>
  </si>
  <si>
    <t>Row Labels</t>
  </si>
  <si>
    <t>Grand Total</t>
  </si>
  <si>
    <t>Sum of Revenue</t>
  </si>
  <si>
    <t>REVENUE BY REGION</t>
  </si>
  <si>
    <t>Sum of Quantity</t>
  </si>
  <si>
    <t>SALES BY PRODUCT</t>
  </si>
  <si>
    <t>CATEGORY REVENUE</t>
  </si>
  <si>
    <t>Count of OrderID</t>
  </si>
  <si>
    <t>PAYMENT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</si>
</sst>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  <font>
      <b/>
      <sz val="16"/>
      <color theme="0"/>
      <name val="Tw Cen MT"/>
      <family val="2"/>
      <scheme val="minor"/>
    </font>
    <font>
      <b/>
      <sz val="16"/>
      <color theme="1"/>
      <name val="Tw Cen MT"/>
      <family val="2"/>
      <scheme val="minor"/>
    </font>
    <font>
      <sz val="16"/>
      <color theme="1"/>
      <name val="Tw Cen MT"/>
      <family val="2"/>
      <scheme val="minor"/>
    </font>
    <font>
      <b/>
      <sz val="12"/>
      <color theme="1"/>
      <name val="Tw Cen MT"/>
      <family val="2"/>
      <scheme val="minor"/>
    </font>
    <font>
      <b/>
      <sz val="14"/>
      <color theme="1"/>
      <name val="Tw Cen MT"/>
      <family val="2"/>
      <scheme val="minor"/>
    </font>
    <font>
      <sz val="11"/>
      <color rgb="FFC00000"/>
      <name val="Tw Cen MT"/>
      <family val="2"/>
      <scheme val="minor"/>
    </font>
    <font>
      <sz val="10"/>
      <color theme="1"/>
      <name val="Tw Cen MT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4" fillId="2" borderId="0" xfId="0" applyFont="1" applyFill="1"/>
    <xf numFmtId="9" fontId="0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2" fillId="3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vertical="center" wrapText="1"/>
    </xf>
    <xf numFmtId="0" fontId="0" fillId="4" borderId="4" xfId="0" applyFont="1" applyFill="1" applyBorder="1" applyAlignment="1">
      <alignment vertical="center" wrapText="1"/>
    </xf>
    <xf numFmtId="0" fontId="0" fillId="5" borderId="5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4" borderId="5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9" fontId="0" fillId="4" borderId="4" xfId="1" applyNumberFormat="1" applyFont="1" applyFill="1" applyBorder="1"/>
    <xf numFmtId="9" fontId="0" fillId="5" borderId="1" xfId="1" applyNumberFormat="1" applyFont="1" applyFill="1" applyBorder="1"/>
    <xf numFmtId="9" fontId="0" fillId="4" borderId="1" xfId="1" applyNumberFormat="1" applyFont="1" applyFill="1" applyBorder="1"/>
    <xf numFmtId="0" fontId="5" fillId="2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8" borderId="0" xfId="0" applyFill="1"/>
    <xf numFmtId="0" fontId="11" fillId="8" borderId="0" xfId="0" applyFont="1" applyFill="1"/>
    <xf numFmtId="0" fontId="10" fillId="8" borderId="0" xfId="0" applyFont="1" applyFill="1"/>
  </cellXfs>
  <cellStyles count="2">
    <cellStyle name="Normal" xfId="0" builtinId="0"/>
    <cellStyle name="Percent" xfId="1" builtinId="5"/>
  </cellStyles>
  <dxfs count="5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Cumulative Revenue Distribution (Ogive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'Statistical Summary '!$G$13:$G$18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0.62</c:v>
                </c:pt>
                <c:pt idx="3">
                  <c:v>0.68</c:v>
                </c:pt>
                <c:pt idx="4">
                  <c:v>0.78</c:v>
                </c:pt>
                <c:pt idx="5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F8D-4AB2-A3EA-B60F427A1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247616"/>
        <c:axId val="1013236096"/>
      </c:lineChart>
      <c:catAx>
        <c:axId val="101324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36096"/>
        <c:crosses val="autoZero"/>
        <c:auto val="1"/>
        <c:lblAlgn val="ctr"/>
        <c:lblOffset val="100"/>
        <c:noMultiLvlLbl val="0"/>
      </c:catAx>
      <c:valAx>
        <c:axId val="10132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4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02537182852143"/>
          <c:y val="7.407407407407407E-2"/>
          <c:w val="0.83953018372703414"/>
          <c:h val="0.705786307961504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 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'Pareto Anlysis'!$E$4:$E$11</c:f>
              <c:strCache>
                <c:ptCount val="8"/>
                <c:pt idx="0">
                  <c:v>Laptop</c:v>
                </c:pt>
                <c:pt idx="1">
                  <c:v>Phone</c:v>
                </c:pt>
                <c:pt idx="2">
                  <c:v>Printer</c:v>
                </c:pt>
                <c:pt idx="3">
                  <c:v>Monitor</c:v>
                </c:pt>
                <c:pt idx="4">
                  <c:v>Table</c:v>
                </c:pt>
                <c:pt idx="5">
                  <c:v>Headphones</c:v>
                </c:pt>
                <c:pt idx="6">
                  <c:v>Chair</c:v>
                </c:pt>
                <c:pt idx="7">
                  <c:v>Keyboard</c:v>
                </c:pt>
              </c:strCache>
            </c:strRef>
          </c:cat>
          <c:val>
            <c:numRef>
              <c:f>'Pareto Anlysis'!$F$4:$F$11</c:f>
              <c:numCache>
                <c:formatCode>General</c:formatCode>
                <c:ptCount val="8"/>
                <c:pt idx="0">
                  <c:v>2383243</c:v>
                </c:pt>
                <c:pt idx="1">
                  <c:v>534760</c:v>
                </c:pt>
                <c:pt idx="2">
                  <c:v>506246</c:v>
                </c:pt>
                <c:pt idx="3">
                  <c:v>470654</c:v>
                </c:pt>
                <c:pt idx="4">
                  <c:v>150990</c:v>
                </c:pt>
                <c:pt idx="5">
                  <c:v>107490</c:v>
                </c:pt>
                <c:pt idx="6">
                  <c:v>73447</c:v>
                </c:pt>
                <c:pt idx="7">
                  <c:v>29566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4-4987-B48F-EE640B278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3232736"/>
        <c:axId val="1013234656"/>
      </c:barChart>
      <c:lineChart>
        <c:grouping val="standard"/>
        <c:varyColors val="0"/>
        <c:ser>
          <c:idx val="1"/>
          <c:order val="1"/>
          <c:tx>
            <c:v>CUM%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'Pareto Anlysis'!$H$4:$H$11</c:f>
              <c:numCache>
                <c:formatCode>0%</c:formatCode>
                <c:ptCount val="8"/>
                <c:pt idx="0">
                  <c:v>0.55992041154065553</c:v>
                </c:pt>
                <c:pt idx="1">
                  <c:v>0.68555721789044066</c:v>
                </c:pt>
                <c:pt idx="2">
                  <c:v>0.80449492951313739</c:v>
                </c:pt>
                <c:pt idx="3">
                  <c:v>0.91507063722454396</c:v>
                </c:pt>
                <c:pt idx="4">
                  <c:v>0.95054431025684638</c:v>
                </c:pt>
                <c:pt idx="5">
                  <c:v>0.97579806954052206</c:v>
                </c:pt>
                <c:pt idx="6">
                  <c:v>0.99305374781857703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44-4987-B48F-EE640B278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317360"/>
        <c:axId val="1009310640"/>
      </c:lineChart>
      <c:catAx>
        <c:axId val="101323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34656"/>
        <c:crosses val="autoZero"/>
        <c:auto val="1"/>
        <c:lblAlgn val="ctr"/>
        <c:lblOffset val="100"/>
        <c:noMultiLvlLbl val="0"/>
      </c:catAx>
      <c:valAx>
        <c:axId val="101323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32736"/>
        <c:crosses val="autoZero"/>
        <c:crossBetween val="between"/>
      </c:valAx>
      <c:valAx>
        <c:axId val="100931064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317360"/>
        <c:crosses val="max"/>
        <c:crossBetween val="between"/>
      </c:valAx>
      <c:catAx>
        <c:axId val="1009317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0093106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[retail_sales_case_study_dataset.xlsx]Pivot Analysis 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REGION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 '!$C$4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Analysis '!$B$5:$B$9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 '!$C$5:$C$9</c:f>
              <c:numCache>
                <c:formatCode>General</c:formatCode>
                <c:ptCount val="4"/>
                <c:pt idx="0">
                  <c:v>622521</c:v>
                </c:pt>
                <c:pt idx="1">
                  <c:v>1330357</c:v>
                </c:pt>
                <c:pt idx="2">
                  <c:v>1034771</c:v>
                </c:pt>
                <c:pt idx="3">
                  <c:v>1268747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4-44BF-852D-A1E11C13E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13279776"/>
        <c:axId val="1013261056"/>
      </c:barChart>
      <c:catAx>
        <c:axId val="10132797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61056"/>
        <c:crosses val="autoZero"/>
        <c:auto val="1"/>
        <c:lblAlgn val="ctr"/>
        <c:lblOffset val="100"/>
        <c:noMultiLvlLbl val="0"/>
      </c:catAx>
      <c:valAx>
        <c:axId val="1013261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79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[retail_sales_case_study_dataset.xlsx]Pivot Analysis 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1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1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76200" dist="25400" dir="5400000" algn="ctr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 '!$F$4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1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76200" dist="25400" dir="5400000" algn="ctr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 '!$E$5:$E$13</c:f>
              <c:strCache>
                <c:ptCount val="8"/>
                <c:pt idx="0">
                  <c:v>Chair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Phone</c:v>
                </c:pt>
                <c:pt idx="6">
                  <c:v>Printer</c:v>
                </c:pt>
                <c:pt idx="7">
                  <c:v>Table</c:v>
                </c:pt>
              </c:strCache>
            </c:strRef>
          </c:cat>
          <c:val>
            <c:numRef>
              <c:f>'Pivot Analysis '!$F$5:$F$13</c:f>
              <c:numCache>
                <c:formatCode>General</c:formatCode>
                <c:ptCount val="8"/>
                <c:pt idx="0">
                  <c:v>24</c:v>
                </c:pt>
                <c:pt idx="1">
                  <c:v>32</c:v>
                </c:pt>
                <c:pt idx="2">
                  <c:v>20</c:v>
                </c:pt>
                <c:pt idx="3">
                  <c:v>40</c:v>
                </c:pt>
                <c:pt idx="4">
                  <c:v>31</c:v>
                </c:pt>
                <c:pt idx="5">
                  <c:v>27</c:v>
                </c:pt>
                <c:pt idx="6">
                  <c:v>43</c:v>
                </c:pt>
                <c:pt idx="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1-464D-843F-5513F6DD1C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13276896"/>
        <c:axId val="1013275456"/>
      </c:barChart>
      <c:catAx>
        <c:axId val="1013276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75456"/>
        <c:crosses val="autoZero"/>
        <c:auto val="1"/>
        <c:lblAlgn val="ctr"/>
        <c:lblOffset val="100"/>
        <c:noMultiLvlLbl val="0"/>
      </c:catAx>
      <c:valAx>
        <c:axId val="101327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7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shade val="51000"/>
            <a:satMod val="130000"/>
          </a:schemeClr>
        </a:gs>
        <a:gs pos="80000">
          <a:schemeClr val="dk1">
            <a:shade val="93000"/>
            <a:satMod val="130000"/>
          </a:schemeClr>
        </a:gs>
        <a:gs pos="100000">
          <a:schemeClr val="dk1">
            <a:shade val="94000"/>
            <a:satMod val="135000"/>
          </a:schemeClr>
        </a:gs>
      </a:gsLst>
      <a:lin ang="16200000" scaled="0"/>
      <a:tileRect/>
    </a:gradFill>
    <a:ln w="9525" cap="flat" cmpd="sng" algn="ctr">
      <a:solidFill>
        <a:schemeClr val="dk1">
          <a:shade val="95000"/>
          <a:satMod val="105000"/>
        </a:schemeClr>
      </a:solidFill>
      <a:prstDash val="solid"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[retail_sales_case_study_dataset.xlsx]Pivot Analysis 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1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1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</c:pivotFmt>
      <c:pivotFmt>
        <c:idx val="3"/>
        <c:spPr>
          <a:gradFill rotWithShape="1">
            <a:gsLst>
              <a:gs pos="0">
                <a:schemeClr val="accent2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2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</c:pivotFmt>
      <c:pivotFmt>
        <c:idx val="4"/>
        <c:spPr>
          <a:gradFill rotWithShape="1">
            <a:gsLst>
              <a:gs pos="0">
                <a:schemeClr val="accent3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3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</c:pivotFmt>
      <c:pivotFmt>
        <c:idx val="5"/>
        <c:spPr>
          <a:gradFill rotWithShape="1">
            <a:gsLst>
              <a:gs pos="0">
                <a:schemeClr val="accent4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4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 '!$L$4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100000"/>
                      <a:shade val="85000"/>
                      <a:satMod val="100000"/>
                      <a:lumMod val="100000"/>
                    </a:schemeClr>
                  </a:gs>
                  <a:gs pos="100000">
                    <a:schemeClr val="accent1">
                      <a:tint val="90000"/>
                      <a:shade val="100000"/>
                      <a:satMod val="150000"/>
                      <a:lum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76200" dist="25400" dir="5400000" algn="ct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">
                  <a:rot lat="0" lon="0" rev="3600000"/>
                </a:lightRig>
              </a:scene3d>
              <a:sp3d contourW="12700" prstMaterial="flat">
                <a:bevelT w="38100" h="44450" prst="angle"/>
                <a:contourClr>
                  <a:scrgbClr r="0" g="0" b="0">
                    <a:shade val="35000"/>
                    <a:satMod val="16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307-4216-BDC8-B3BD67D775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85000"/>
                      <a:satMod val="100000"/>
                      <a:lumMod val="100000"/>
                    </a:schemeClr>
                  </a:gs>
                  <a:gs pos="100000">
                    <a:schemeClr val="accent2">
                      <a:tint val="90000"/>
                      <a:shade val="100000"/>
                      <a:satMod val="150000"/>
                      <a:lum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76200" dist="25400" dir="5400000" algn="ct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">
                  <a:rot lat="0" lon="0" rev="3600000"/>
                </a:lightRig>
              </a:scene3d>
              <a:sp3d contourW="12700" prstMaterial="flat">
                <a:bevelT w="38100" h="44450" prst="angle"/>
                <a:contourClr>
                  <a:scrgbClr r="0" g="0" b="0">
                    <a:shade val="35000"/>
                    <a:satMod val="16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307-4216-BDC8-B3BD67D7754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100000"/>
                      <a:shade val="85000"/>
                      <a:satMod val="100000"/>
                      <a:lumMod val="100000"/>
                    </a:schemeClr>
                  </a:gs>
                  <a:gs pos="100000">
                    <a:schemeClr val="accent3">
                      <a:tint val="90000"/>
                      <a:shade val="100000"/>
                      <a:satMod val="150000"/>
                      <a:lum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76200" dist="25400" dir="5400000" algn="ct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">
                  <a:rot lat="0" lon="0" rev="3600000"/>
                </a:lightRig>
              </a:scene3d>
              <a:sp3d contourW="12700" prstMaterial="flat">
                <a:bevelT w="38100" h="44450" prst="angle"/>
                <a:contourClr>
                  <a:scrgbClr r="0" g="0" b="0">
                    <a:shade val="35000"/>
                    <a:satMod val="16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307-4216-BDC8-B3BD67D7754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100000"/>
                      <a:shade val="85000"/>
                      <a:satMod val="100000"/>
                      <a:lumMod val="100000"/>
                    </a:schemeClr>
                  </a:gs>
                  <a:gs pos="100000">
                    <a:schemeClr val="accent4">
                      <a:tint val="90000"/>
                      <a:shade val="100000"/>
                      <a:satMod val="150000"/>
                      <a:lum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76200" dist="25400" dir="5400000" algn="ct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">
                  <a:rot lat="0" lon="0" rev="3600000"/>
                </a:lightRig>
              </a:scene3d>
              <a:sp3d contourW="12700" prstMaterial="flat">
                <a:bevelT w="38100" h="44450" prst="angle"/>
                <a:contourClr>
                  <a:scrgbClr r="0" g="0" b="0">
                    <a:shade val="35000"/>
                    <a:satMod val="16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307-4216-BDC8-B3BD67D775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 '!$K$5:$K$9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'Pivot Analysis '!$L$5:$L$9</c:f>
              <c:numCache>
                <c:formatCode>General</c:formatCode>
                <c:ptCount val="4"/>
                <c:pt idx="0">
                  <c:v>27</c:v>
                </c:pt>
                <c:pt idx="1">
                  <c:v>31</c:v>
                </c:pt>
                <c:pt idx="2">
                  <c:v>25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07-4216-BDC8-B3BD67D775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bg1"/>
                </a:solidFill>
              </a:rPr>
              <a:t>PARETO ANALYSIS-TOP PRODUCT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02537182852143"/>
          <c:y val="0.16205780752020685"/>
          <c:w val="0.7551061959951636"/>
          <c:h val="0.61780257320877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'Pareto Anlysis'!$F$3</c:f>
              <c:strCache>
                <c:ptCount val="1"/>
                <c:pt idx="0">
                  <c:v>Total Revenue</c:v>
                </c:pt>
              </c:strCache>
            </c:strRef>
          </c:tx>
          <c:spPr>
            <a:pattFill prst="narHorz">
              <a:fgClr>
                <a:schemeClr val="accent2">
                  <a:shade val="76000"/>
                </a:schemeClr>
              </a:fgClr>
              <a:bgClr>
                <a:schemeClr val="accent2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shade val="76000"/>
                </a:schemeClr>
              </a:innerShdw>
            </a:effectLst>
          </c:spPr>
          <c:invertIfNegative val="0"/>
          <c:cat>
            <c:strRef>
              <c:f>'Pareto Anlysis'!$E$4:$E$11</c:f>
              <c:strCache>
                <c:ptCount val="8"/>
                <c:pt idx="0">
                  <c:v>Laptop</c:v>
                </c:pt>
                <c:pt idx="1">
                  <c:v>Phone</c:v>
                </c:pt>
                <c:pt idx="2">
                  <c:v>Printer</c:v>
                </c:pt>
                <c:pt idx="3">
                  <c:v>Monitor</c:v>
                </c:pt>
                <c:pt idx="4">
                  <c:v>Table</c:v>
                </c:pt>
                <c:pt idx="5">
                  <c:v>Headphones</c:v>
                </c:pt>
                <c:pt idx="6">
                  <c:v>Chair</c:v>
                </c:pt>
                <c:pt idx="7">
                  <c:v>Keyboard</c:v>
                </c:pt>
              </c:strCache>
            </c:strRef>
          </c:cat>
          <c:val>
            <c:numRef>
              <c:f>'Pareto Anlysis'!$F$4:$F$11</c:f>
              <c:numCache>
                <c:formatCode>General</c:formatCode>
                <c:ptCount val="8"/>
                <c:pt idx="0">
                  <c:v>2383243</c:v>
                </c:pt>
                <c:pt idx="1">
                  <c:v>534760</c:v>
                </c:pt>
                <c:pt idx="2">
                  <c:v>506246</c:v>
                </c:pt>
                <c:pt idx="3">
                  <c:v>470654</c:v>
                </c:pt>
                <c:pt idx="4">
                  <c:v>150990</c:v>
                </c:pt>
                <c:pt idx="5">
                  <c:v>107490</c:v>
                </c:pt>
                <c:pt idx="6">
                  <c:v>73447</c:v>
                </c:pt>
                <c:pt idx="7">
                  <c:v>29566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0-4D88-98B8-D2333EEFD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3232736"/>
        <c:axId val="1013234656"/>
      </c:barChart>
      <c:lineChart>
        <c:grouping val="standard"/>
        <c:varyColors val="0"/>
        <c:ser>
          <c:idx val="1"/>
          <c:order val="1"/>
          <c:tx>
            <c:strRef>
              <c:f>'Pareto Anlysis'!$H$3</c:f>
              <c:strCache>
                <c:ptCount val="1"/>
                <c:pt idx="0">
                  <c:v>Cum%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'Pareto Anlysis'!$H$4:$H$11</c:f>
              <c:numCache>
                <c:formatCode>0%</c:formatCode>
                <c:ptCount val="8"/>
                <c:pt idx="0">
                  <c:v>0.55992041154065553</c:v>
                </c:pt>
                <c:pt idx="1">
                  <c:v>0.68555721789044066</c:v>
                </c:pt>
                <c:pt idx="2">
                  <c:v>0.80449492951313739</c:v>
                </c:pt>
                <c:pt idx="3">
                  <c:v>0.91507063722454396</c:v>
                </c:pt>
                <c:pt idx="4">
                  <c:v>0.95054431025684638</c:v>
                </c:pt>
                <c:pt idx="5">
                  <c:v>0.97579806954052206</c:v>
                </c:pt>
                <c:pt idx="6">
                  <c:v>0.99305374781857703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0-4D88-98B8-D2333EEFD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264896"/>
        <c:axId val="1013272096"/>
      </c:lineChart>
      <c:catAx>
        <c:axId val="101323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34656"/>
        <c:crosses val="autoZero"/>
        <c:auto val="1"/>
        <c:lblAlgn val="ctr"/>
        <c:lblOffset val="100"/>
        <c:noMultiLvlLbl val="0"/>
      </c:catAx>
      <c:valAx>
        <c:axId val="101323465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32736"/>
        <c:crosses val="autoZero"/>
        <c:crossBetween val="between"/>
      </c:valAx>
      <c:valAx>
        <c:axId val="101327209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64896"/>
        <c:crosses val="max"/>
        <c:crossBetween val="between"/>
      </c:valAx>
      <c:catAx>
        <c:axId val="1013264896"/>
        <c:scaling>
          <c:orientation val="minMax"/>
        </c:scaling>
        <c:delete val="1"/>
        <c:axPos val="t"/>
        <c:majorTickMark val="out"/>
        <c:minorTickMark val="none"/>
        <c:tickLblPos val="nextTo"/>
        <c:crossAx val="101327209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Customer Order Revenue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Customer Order Revenue Distribution</a:t>
          </a:r>
        </a:p>
      </cx:txPr>
    </cx:title>
    <cx:plotArea>
      <cx:plotAreaRegion>
        <cx:series layoutId="clusteredColumn" uniqueId="{2E3E0788-8EC1-465F-A401-B9561E2B8191}">
          <cx:tx>
            <cx:txData>
              <cx:f>_xlchart.v1.0</cx:f>
              <cx:v>Revenue</cx:v>
            </cx:txData>
          </cx:tx>
          <cx:dataId val="0"/>
          <cx:layoutPr>
            <cx:binning intervalClosed="r" underflow="0" overflow="50000">
              <cx:binSize val="10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solidFill>
      <a:schemeClr val="lt1"/>
    </a:solidFill>
    <a:ln w="25400" cap="flat" cmpd="sng" algn="ctr">
      <a:solidFill>
        <a:schemeClr val="dk1"/>
      </a:solidFill>
      <a:prstDash val="solid"/>
    </a:ln>
    <a:effectLst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Customer Order Revenue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bg1"/>
              </a:solidFill>
              <a:latin typeface="Calibri"/>
            </a:rPr>
            <a:t>Customer Order Revenue Distribution</a:t>
          </a:r>
        </a:p>
      </cx:txPr>
    </cx:title>
    <cx:plotArea>
      <cx:plotAreaRegion>
        <cx:series layoutId="clusteredColumn" uniqueId="{2E3E0788-8EC1-465F-A401-B9561E2B8191}">
          <cx:tx>
            <cx:txData>
              <cx:f>_xlchart.v1.6</cx:f>
              <cx:v>Revenue</cx:v>
            </cx:txData>
          </cx:tx>
          <cx:dataId val="0"/>
          <cx:layoutPr>
            <cx:binning intervalClosed="r" underflow="0" overflow="50000">
              <cx:binSize val="10000"/>
            </cx:binning>
          </cx:layoutPr>
        </cx:series>
      </cx:plotAreaRegion>
      <cx:axis id="0">
        <cx:catScaling gapWidth="0"/>
        <cx:minorGridlines/>
        <cx:tickLabels/>
      </cx:axis>
      <cx:axis id="1">
        <cx:valScaling/>
        <cx:majorGridlines/>
        <cx:tickLabels/>
      </cx:axis>
    </cx:plotArea>
  </cx:chart>
  <cx:spPr>
    <a:solidFill>
      <a:schemeClr val="tx1"/>
    </a:solidFill>
    <a:ln w="25400" cap="flat" cmpd="sng" algn="ctr">
      <a:solidFill>
        <a:schemeClr val="dk1"/>
      </a:solidFill>
      <a:prstDash val="solid"/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microsoft.com/office/2014/relationships/chartEx" Target="../charts/chartEx2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412749</xdr:colOff>
      <xdr:row>0</xdr:row>
      <xdr:rowOff>108857</xdr:rowOff>
    </xdr:from>
    <xdr:to>
      <xdr:col>16</xdr:col>
      <xdr:colOff>181428</xdr:colOff>
      <xdr:row>7</xdr:row>
      <xdr:rowOff>172357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1498DE01-2E40-4450-62FC-2813A190CF23}"/>
            </a:ext>
          </a:extLst>
        </xdr:cNvPr>
        <xdr:cNvSpPr/>
      </xdr:nvSpPr>
      <xdr:spPr>
        <a:xfrm>
          <a:off x="10627178" y="108857"/>
          <a:ext cx="2807607" cy="1641929"/>
        </a:xfrm>
        <a:prstGeom prst="flowChartProcess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/>
            <a:t>Recommentaion</a:t>
          </a:r>
          <a:r>
            <a:rPr lang="en-GB" sz="1400" baseline="0"/>
            <a:t> :</a:t>
          </a:r>
          <a:br>
            <a:rPr lang="en-GB" sz="1400" baseline="0"/>
          </a:br>
          <a:br>
            <a:rPr lang="en-GB" sz="1400" baseline="0"/>
          </a:br>
          <a:r>
            <a:rPr lang="en-GB" sz="1400" baseline="0"/>
            <a:t>1. Upsell Strategy for mid tier customers between 18K-43K</a:t>
          </a:r>
          <a:br>
            <a:rPr lang="en-GB" sz="1400" baseline="0"/>
          </a:br>
          <a:br>
            <a:rPr lang="en-GB" sz="1400" baseline="0"/>
          </a:br>
          <a:r>
            <a:rPr lang="en-GB" sz="1400" baseline="0"/>
            <a:t>2. Retention Strategy for high value customers</a:t>
          </a:r>
          <a:endParaRPr lang="en-GB" sz="1400"/>
        </a:p>
      </xdr:txBody>
    </xdr:sp>
    <xdr:clientData/>
  </xdr:twoCellAnchor>
  <xdr:twoCellAnchor>
    <xdr:from>
      <xdr:col>6</xdr:col>
      <xdr:colOff>1189620</xdr:colOff>
      <xdr:row>10</xdr:row>
      <xdr:rowOff>102885</xdr:rowOff>
    </xdr:from>
    <xdr:to>
      <xdr:col>13</xdr:col>
      <xdr:colOff>566586</xdr:colOff>
      <xdr:row>23</xdr:row>
      <xdr:rowOff>40190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">
              <a:extLst>
                <a:ext uri="{FF2B5EF4-FFF2-40B4-BE49-F238E27FC236}">
                  <a16:creationId xmlns:a16="http://schemas.microsoft.com/office/drawing/2014/main" id="{80C9D9ED-0D46-3CDA-6D42-739CECC8C9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7468" y="2208834"/>
              <a:ext cx="4513232" cy="2340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153525</xdr:colOff>
      <xdr:row>10</xdr:row>
      <xdr:rowOff>99349</xdr:rowOff>
    </xdr:from>
    <xdr:to>
      <xdr:col>20</xdr:col>
      <xdr:colOff>321519</xdr:colOff>
      <xdr:row>23</xdr:row>
      <xdr:rowOff>56266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91D403-166F-93D2-46EA-B58FF1A31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2</xdr:row>
      <xdr:rowOff>0</xdr:rowOff>
    </xdr:from>
    <xdr:to>
      <xdr:col>15</xdr:col>
      <xdr:colOff>279400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C8FC5A-003A-6DE7-3014-F899FEEE2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44450</xdr:colOff>
      <xdr:row>12</xdr:row>
      <xdr:rowOff>31750</xdr:rowOff>
    </xdr:from>
    <xdr:to>
      <xdr:col>7</xdr:col>
      <xdr:colOff>622300</xdr:colOff>
      <xdr:row>19</xdr:row>
      <xdr:rowOff>50800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7B0F857B-F6F1-27A1-C16A-7E5AD7742E69}"/>
            </a:ext>
          </a:extLst>
        </xdr:cNvPr>
        <xdr:cNvSpPr/>
      </xdr:nvSpPr>
      <xdr:spPr>
        <a:xfrm>
          <a:off x="2686050" y="2178050"/>
          <a:ext cx="4222750" cy="1263650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 Pareto analysis shows that the top three products (Laptop, Phone, and Printer) generate nearly 80% of total revenue, indicating strong revenue concentration in a small set of high-performing products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663862</xdr:colOff>
      <xdr:row>15</xdr:row>
      <xdr:rowOff>125076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1646E-3334-C9FB-0CC0-6AAE8AEDD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386773</xdr:colOff>
      <xdr:row>1</xdr:row>
      <xdr:rowOff>19242</xdr:rowOff>
    </xdr:from>
    <xdr:to>
      <xdr:col>26</xdr:col>
      <xdr:colOff>28862</xdr:colOff>
      <xdr:row>15</xdr:row>
      <xdr:rowOff>105834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C44407-F941-4B05-D566-143505C98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394746</xdr:colOff>
      <xdr:row>16</xdr:row>
      <xdr:rowOff>108858</xdr:rowOff>
    </xdr:from>
    <xdr:to>
      <xdr:col>26</xdr:col>
      <xdr:colOff>68172</xdr:colOff>
      <xdr:row>34</xdr:row>
      <xdr:rowOff>38485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A28024-ECDE-673F-DD61-C360ED93E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333445</xdr:colOff>
      <xdr:row>10</xdr:row>
      <xdr:rowOff>56904</xdr:rowOff>
    </xdr:from>
    <xdr:to>
      <xdr:col>8</xdr:col>
      <xdr:colOff>161087</xdr:colOff>
      <xdr:row>31</xdr:row>
      <xdr:rowOff>82676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CDA579-EC14-4FD7-8316-D06F13D96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18</xdr:col>
      <xdr:colOff>0</xdr:colOff>
      <xdr:row>34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1">
              <a:extLst>
                <a:ext uri="{FF2B5EF4-FFF2-40B4-BE49-F238E27FC236}">
                  <a16:creationId xmlns:a16="http://schemas.microsoft.com/office/drawing/2014/main" id="{7E6002CD-3AC3-48E9-A2E0-B756C77A6C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74773" y="2944091"/>
              <a:ext cx="5974772" cy="29440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289153</xdr:colOff>
      <xdr:row>0</xdr:row>
      <xdr:rowOff>57830</xdr:rowOff>
    </xdr:from>
    <xdr:to>
      <xdr:col>2</xdr:col>
      <xdr:colOff>209778</xdr:colOff>
      <xdr:row>3</xdr:row>
      <xdr:rowOff>73705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C7C3353-2CA0-9A7F-5DCE-B4CCAE709F7B}"/>
            </a:ext>
          </a:extLst>
        </xdr:cNvPr>
        <xdr:cNvSpPr/>
      </xdr:nvSpPr>
      <xdr:spPr>
        <a:xfrm>
          <a:off x="289153" y="57830"/>
          <a:ext cx="1136196" cy="56016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rgbClr val="FF0000"/>
              </a:solidFill>
            </a:rPr>
            <a:t>TOTAL</a:t>
          </a:r>
          <a:r>
            <a:rPr lang="en-GB" sz="1100" b="1" baseline="0">
              <a:solidFill>
                <a:srgbClr val="FF0000"/>
              </a:solidFill>
            </a:rPr>
            <a:t> REVENUE</a:t>
          </a:r>
          <a:br>
            <a:rPr lang="en-GB" sz="1100" baseline="0">
              <a:solidFill>
                <a:srgbClr val="FF0000"/>
              </a:solidFill>
            </a:rPr>
          </a:br>
          <a:r>
            <a:rPr lang="en-GB" sz="1100" baseline="0">
              <a:solidFill>
                <a:srgbClr val="FF0000"/>
              </a:solidFill>
            </a:rPr>
            <a:t>      </a:t>
          </a:r>
          <a:r>
            <a:rPr lang="en-GB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4256396</a:t>
          </a:r>
          <a:r>
            <a:rPr lang="en-GB">
              <a:effectLst/>
            </a:rPr>
            <a:t> </a:t>
          </a:r>
          <a:br>
            <a:rPr lang="en-GB" sz="1100" baseline="0">
              <a:solidFill>
                <a:srgbClr val="FF0000"/>
              </a:solidFill>
            </a:rPr>
          </a:br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334509</xdr:colOff>
      <xdr:row>0</xdr:row>
      <xdr:rowOff>49894</xdr:rowOff>
    </xdr:from>
    <xdr:to>
      <xdr:col>4</xdr:col>
      <xdr:colOff>199571</xdr:colOff>
      <xdr:row>3</xdr:row>
      <xdr:rowOff>89580</xdr:rowOff>
    </xdr:to>
    <xdr:sp macro="" textlink="">
      <xdr:nvSpPr>
        <xdr:cNvPr id="9" name="Flowchart: Process 8">
          <a:extLst>
            <a:ext uri="{FF2B5EF4-FFF2-40B4-BE49-F238E27FC236}">
              <a16:creationId xmlns:a16="http://schemas.microsoft.com/office/drawing/2014/main" id="{5140B52B-F57B-01AA-7A37-ADCAFDF0ED5F}"/>
            </a:ext>
          </a:extLst>
        </xdr:cNvPr>
        <xdr:cNvSpPr/>
      </xdr:nvSpPr>
      <xdr:spPr>
        <a:xfrm>
          <a:off x="1550080" y="49894"/>
          <a:ext cx="1080634" cy="583972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rgbClr val="FF0000"/>
              </a:solidFill>
            </a:rPr>
            <a:t>TOTAL ORDERS</a:t>
          </a:r>
          <a:br>
            <a:rPr lang="en-GB" sz="1100" b="1">
              <a:solidFill>
                <a:srgbClr val="FF0000"/>
              </a:solidFill>
            </a:rPr>
          </a:br>
          <a:r>
            <a:rPr lang="en-GB" sz="1100" b="1">
              <a:solidFill>
                <a:srgbClr val="FF0000"/>
              </a:solidFill>
            </a:rPr>
            <a:t>        </a:t>
          </a:r>
          <a:r>
            <a:rPr lang="en-GB" sz="1100" b="1">
              <a:solidFill>
                <a:sysClr val="windowText" lastClr="000000"/>
              </a:solidFill>
            </a:rPr>
            <a:t>100</a:t>
          </a:r>
          <a:endParaRPr lang="en-GB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324304</xdr:colOff>
      <xdr:row>0</xdr:row>
      <xdr:rowOff>54429</xdr:rowOff>
    </xdr:from>
    <xdr:to>
      <xdr:col>6</xdr:col>
      <xdr:colOff>444501</xdr:colOff>
      <xdr:row>3</xdr:row>
      <xdr:rowOff>108857</xdr:rowOff>
    </xdr:to>
    <xdr:sp macro="" textlink="">
      <xdr:nvSpPr>
        <xdr:cNvPr id="10" name="Flowchart: Process 9">
          <a:extLst>
            <a:ext uri="{FF2B5EF4-FFF2-40B4-BE49-F238E27FC236}">
              <a16:creationId xmlns:a16="http://schemas.microsoft.com/office/drawing/2014/main" id="{DF70E5E9-5730-1FCB-803C-052D7FA53055}"/>
            </a:ext>
          </a:extLst>
        </xdr:cNvPr>
        <xdr:cNvSpPr/>
      </xdr:nvSpPr>
      <xdr:spPr>
        <a:xfrm>
          <a:off x="2755447" y="54429"/>
          <a:ext cx="1335768" cy="598714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rgbClr val="C00000"/>
              </a:solidFill>
            </a:rPr>
            <a:t>AVERAGE</a:t>
          </a:r>
          <a:r>
            <a:rPr lang="en-GB" sz="1100" b="1" baseline="0">
              <a:solidFill>
                <a:srgbClr val="C00000"/>
              </a:solidFill>
            </a:rPr>
            <a:t> ORDER</a:t>
          </a:r>
          <a:br>
            <a:rPr lang="en-GB" sz="1100" b="1" baseline="0">
              <a:solidFill>
                <a:srgbClr val="C00000"/>
              </a:solidFill>
            </a:rPr>
          </a:br>
          <a:r>
            <a:rPr lang="en-GB" sz="1100" b="1" baseline="0">
              <a:solidFill>
                <a:srgbClr val="C00000"/>
              </a:solidFill>
            </a:rPr>
            <a:t>        </a:t>
          </a:r>
          <a:r>
            <a:rPr lang="en-GB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42563.96</a:t>
          </a:r>
          <a:r>
            <a:rPr lang="en-GB" b="1">
              <a:effectLst/>
            </a:rPr>
            <a:t> </a:t>
          </a:r>
          <a:endParaRPr lang="en-GB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603248</xdr:colOff>
      <xdr:row>4</xdr:row>
      <xdr:rowOff>47623</xdr:rowOff>
    </xdr:from>
    <xdr:to>
      <xdr:col>3</xdr:col>
      <xdr:colOff>393471</xdr:colOff>
      <xdr:row>7</xdr:row>
      <xdr:rowOff>55562</xdr:rowOff>
    </xdr:to>
    <xdr:sp macro="" textlink="">
      <xdr:nvSpPr>
        <xdr:cNvPr id="11" name="Flowchart: Process 10">
          <a:extLst>
            <a:ext uri="{FF2B5EF4-FFF2-40B4-BE49-F238E27FC236}">
              <a16:creationId xmlns:a16="http://schemas.microsoft.com/office/drawing/2014/main" id="{0E0226E7-2DDE-71C3-6FD7-EBD4E07125F9}"/>
            </a:ext>
          </a:extLst>
        </xdr:cNvPr>
        <xdr:cNvSpPr/>
      </xdr:nvSpPr>
      <xdr:spPr>
        <a:xfrm>
          <a:off x="603248" y="773337"/>
          <a:ext cx="1776866" cy="552225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rgbClr val="C00000"/>
              </a:solidFill>
            </a:rPr>
            <a:t>TOP</a:t>
          </a:r>
          <a:r>
            <a:rPr lang="en-GB" sz="1100" b="1" baseline="0">
              <a:solidFill>
                <a:srgbClr val="C00000"/>
              </a:solidFill>
            </a:rPr>
            <a:t> REVENUE PRODUCT</a:t>
          </a:r>
          <a:br>
            <a:rPr lang="en-GB" sz="1100" b="1" baseline="0">
              <a:solidFill>
                <a:srgbClr val="C00000"/>
              </a:solidFill>
            </a:rPr>
          </a:br>
          <a:r>
            <a:rPr lang="en-GB" sz="1100" b="1" baseline="0">
              <a:solidFill>
                <a:srgbClr val="C00000"/>
              </a:solidFill>
            </a:rPr>
            <a:t>             </a:t>
          </a:r>
          <a:r>
            <a:rPr lang="en-GB" sz="1100" b="1" baseline="0">
              <a:solidFill>
                <a:sysClr val="windowText" lastClr="000000"/>
              </a:solidFill>
            </a:rPr>
            <a:t> LAPTOP</a:t>
          </a:r>
          <a:endParaRPr lang="en-GB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3</xdr:col>
      <xdr:colOff>607786</xdr:colOff>
      <xdr:row>4</xdr:row>
      <xdr:rowOff>45357</xdr:rowOff>
    </xdr:from>
    <xdr:to>
      <xdr:col>5</xdr:col>
      <xdr:colOff>644072</xdr:colOff>
      <xdr:row>7</xdr:row>
      <xdr:rowOff>45357</xdr:rowOff>
    </xdr:to>
    <xdr:sp macro="" textlink="">
      <xdr:nvSpPr>
        <xdr:cNvPr id="12" name="Flowchart: Process 11">
          <a:extLst>
            <a:ext uri="{FF2B5EF4-FFF2-40B4-BE49-F238E27FC236}">
              <a16:creationId xmlns:a16="http://schemas.microsoft.com/office/drawing/2014/main" id="{48794A33-3C9F-1C86-5FAC-46E4D6FA8C77}"/>
            </a:ext>
          </a:extLst>
        </xdr:cNvPr>
        <xdr:cNvSpPr/>
      </xdr:nvSpPr>
      <xdr:spPr>
        <a:xfrm>
          <a:off x="2594429" y="771071"/>
          <a:ext cx="1360714" cy="544286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rgbClr val="C00000"/>
              </a:solidFill>
            </a:rPr>
            <a:t>TOTAL CUSTOMERS</a:t>
          </a:r>
          <a:br>
            <a:rPr lang="en-GB" sz="1100" b="1">
              <a:solidFill>
                <a:srgbClr val="C00000"/>
              </a:solidFill>
            </a:rPr>
          </a:br>
          <a:r>
            <a:rPr lang="en-GB" sz="1100" b="1">
              <a:solidFill>
                <a:srgbClr val="C00000"/>
              </a:solidFill>
            </a:rPr>
            <a:t>            </a:t>
          </a:r>
          <a:r>
            <a:rPr lang="en-GB" sz="1100" b="1">
              <a:solidFill>
                <a:schemeClr val="tx1"/>
              </a:solidFill>
            </a:rPr>
            <a:t>100</a:t>
          </a:r>
          <a:endParaRPr lang="en-GB" sz="1100" b="1">
            <a:solidFill>
              <a:srgbClr val="C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raj" refreshedDate="46117.518960995367" createdVersion="8" refreshedVersion="8" minRefreshableVersion="3" recordCount="100" xr:uid="{23097955-224E-4634-A0F2-DE6E84F2083F}">
  <cacheSource type="worksheet">
    <worksheetSource name="Table1"/>
  </cacheSource>
  <cacheFields count="10">
    <cacheField name="OrderID" numFmtId="0">
      <sharedItems containsSemiMixedTypes="0" containsString="0" containsNumber="1" containsInteger="1" minValue="1001" maxValue="1100" count="100">
        <n v="1072"/>
        <n v="1043"/>
        <n v="1029"/>
        <n v="1012"/>
        <n v="1089"/>
        <n v="1077"/>
        <n v="1053"/>
        <n v="1067"/>
        <n v="1059"/>
        <n v="1026"/>
        <n v="1016"/>
        <n v="1085"/>
        <n v="1019"/>
        <n v="1087"/>
        <n v="1071"/>
        <n v="1084"/>
        <n v="1070"/>
        <n v="1014"/>
        <n v="1003"/>
        <n v="1082"/>
        <n v="1010"/>
        <n v="1055"/>
        <n v="1079"/>
        <n v="1041"/>
        <n v="1002"/>
        <n v="1074"/>
        <n v="1042"/>
        <n v="1098"/>
        <n v="1080"/>
        <n v="1086"/>
        <n v="1018"/>
        <n v="1040"/>
        <n v="1075"/>
        <n v="1044"/>
        <n v="1004"/>
        <n v="1066"/>
        <n v="1100"/>
        <n v="1069"/>
        <n v="1073"/>
        <n v="1037"/>
        <n v="1046"/>
        <n v="1090"/>
        <n v="1023"/>
        <n v="1039"/>
        <n v="1008"/>
        <n v="1031"/>
        <n v="1060"/>
        <n v="1095"/>
        <n v="1056"/>
        <n v="1020"/>
        <n v="1091"/>
        <n v="1076"/>
        <n v="1058"/>
        <n v="1099"/>
        <n v="1006"/>
        <n v="1005"/>
        <n v="1032"/>
        <n v="1038"/>
        <n v="1064"/>
        <n v="1049"/>
        <n v="1057"/>
        <n v="1047"/>
        <n v="1054"/>
        <n v="1036"/>
        <n v="1050"/>
        <n v="1028"/>
        <n v="1061"/>
        <n v="1015"/>
        <n v="1030"/>
        <n v="1045"/>
        <n v="1088"/>
        <n v="1083"/>
        <n v="1017"/>
        <n v="1081"/>
        <n v="1051"/>
        <n v="1052"/>
        <n v="1096"/>
        <n v="1068"/>
        <n v="1013"/>
        <n v="1009"/>
        <n v="1094"/>
        <n v="1024"/>
        <n v="1034"/>
        <n v="1065"/>
        <n v="1021"/>
        <n v="1011"/>
        <n v="1027"/>
        <n v="1097"/>
        <n v="1078"/>
        <n v="1025"/>
        <n v="1063"/>
        <n v="1022"/>
        <n v="1007"/>
        <n v="1092"/>
        <n v="1048"/>
        <n v="1035"/>
        <n v="1062"/>
        <n v="1033"/>
        <n v="1093"/>
        <n v="1001"/>
      </sharedItems>
    </cacheField>
    <cacheField name="Date" numFmtId="0">
      <sharedItems/>
    </cacheField>
    <cacheField name="Region" numFmtId="0">
      <sharedItems count="4">
        <s v="West"/>
        <s v="South"/>
        <s v="East"/>
        <s v="North"/>
      </sharedItems>
    </cacheField>
    <cacheField name="Product" numFmtId="0">
      <sharedItems count="8">
        <s v="Laptop"/>
        <s v="Keyboard"/>
        <s v="Phone"/>
        <s v="Monitor"/>
        <s v="Printer"/>
        <s v="Chair"/>
        <s v="Headphones"/>
        <s v="Table"/>
      </sharedItems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4"/>
    </cacheField>
    <cacheField name="Price" numFmtId="0">
      <sharedItems containsSemiMixedTypes="0" containsString="0" containsNumber="1" containsInteger="1" minValue="17" maxValue="61808"/>
    </cacheField>
    <cacheField name="Revenue" numFmtId="0">
      <sharedItems containsSemiMixedTypes="0" containsString="0" containsNumber="1" containsInteger="1" minValue="17" maxValue="241752"/>
    </cacheField>
    <cacheField name="Payment" numFmtId="0">
      <sharedItems count="4">
        <s v="Cash"/>
        <s v="Debit Card"/>
        <s v="UPI"/>
        <s v="Credit Card"/>
      </sharedItems>
    </cacheField>
    <cacheField name="DeliveryDays" numFmtId="0">
      <sharedItems containsSemiMixedTypes="0" containsString="0" containsNumber="1" containsInteger="1" minValue="2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2024-02-14"/>
    <x v="0"/>
    <x v="0"/>
    <x v="0"/>
    <n v="4"/>
    <n v="59772"/>
    <n v="239088"/>
    <x v="0"/>
    <n v="5"/>
  </r>
  <r>
    <x v="1"/>
    <s v="2024-03-24"/>
    <x v="1"/>
    <x v="0"/>
    <x v="0"/>
    <n v="4"/>
    <n v="59033"/>
    <n v="236132"/>
    <x v="1"/>
    <n v="2"/>
  </r>
  <r>
    <x v="2"/>
    <s v="2024-03-04"/>
    <x v="0"/>
    <x v="0"/>
    <x v="0"/>
    <n v="3"/>
    <n v="61267"/>
    <n v="183801"/>
    <x v="1"/>
    <n v="3"/>
  </r>
  <r>
    <x v="3"/>
    <s v="2024-02-20"/>
    <x v="2"/>
    <x v="1"/>
    <x v="0"/>
    <n v="1"/>
    <n v="2030"/>
    <n v="2030"/>
    <x v="2"/>
    <n v="3"/>
  </r>
  <r>
    <x v="4"/>
    <s v="2024-03-18"/>
    <x v="2"/>
    <x v="1"/>
    <x v="0"/>
    <n v="2"/>
    <n v="1090"/>
    <n v="2180"/>
    <x v="3"/>
    <n v="8"/>
  </r>
  <r>
    <x v="5"/>
    <s v="2024-02-02"/>
    <x v="2"/>
    <x v="1"/>
    <x v="0"/>
    <n v="1"/>
    <n v="2331"/>
    <n v="2331"/>
    <x v="3"/>
    <n v="10"/>
  </r>
  <r>
    <x v="6"/>
    <s v="2024-02-08"/>
    <x v="1"/>
    <x v="0"/>
    <x v="0"/>
    <n v="3"/>
    <n v="58784"/>
    <n v="176352"/>
    <x v="3"/>
    <n v="6"/>
  </r>
  <r>
    <x v="7"/>
    <s v="2024-03-08"/>
    <x v="1"/>
    <x v="0"/>
    <x v="0"/>
    <n v="2"/>
    <n v="59785"/>
    <n v="119570"/>
    <x v="3"/>
    <n v="10"/>
  </r>
  <r>
    <x v="8"/>
    <s v="2024-01-03"/>
    <x v="0"/>
    <x v="0"/>
    <x v="0"/>
    <n v="2"/>
    <n v="59730"/>
    <n v="119460"/>
    <x v="1"/>
    <n v="6"/>
  </r>
  <r>
    <x v="9"/>
    <s v="2024-02-23"/>
    <x v="0"/>
    <x v="0"/>
    <x v="0"/>
    <n v="2"/>
    <n v="58245"/>
    <n v="116490"/>
    <x v="0"/>
    <n v="8"/>
  </r>
  <r>
    <x v="10"/>
    <s v="2024-03-06"/>
    <x v="1"/>
    <x v="2"/>
    <x v="0"/>
    <n v="4"/>
    <n v="20001"/>
    <n v="80004"/>
    <x v="0"/>
    <n v="9"/>
  </r>
  <r>
    <x v="11"/>
    <s v="2024-01-19"/>
    <x v="1"/>
    <x v="3"/>
    <x v="0"/>
    <n v="4"/>
    <n v="16952"/>
    <n v="67808"/>
    <x v="2"/>
    <n v="3"/>
  </r>
  <r>
    <x v="12"/>
    <s v="2024-01-07"/>
    <x v="1"/>
    <x v="2"/>
    <x v="0"/>
    <n v="3"/>
    <n v="19953"/>
    <n v="59859"/>
    <x v="3"/>
    <n v="8"/>
  </r>
  <r>
    <x v="13"/>
    <s v="2024-01-29"/>
    <x v="0"/>
    <x v="2"/>
    <x v="0"/>
    <n v="4"/>
    <n v="21062"/>
    <n v="84248"/>
    <x v="0"/>
    <n v="10"/>
  </r>
  <r>
    <x v="14"/>
    <s v="2024-03-30"/>
    <x v="0"/>
    <x v="2"/>
    <x v="0"/>
    <n v="4"/>
    <n v="18337"/>
    <n v="73348"/>
    <x v="0"/>
    <n v="7"/>
  </r>
  <r>
    <x v="15"/>
    <s v="2024-03-06"/>
    <x v="1"/>
    <x v="4"/>
    <x v="0"/>
    <n v="4"/>
    <n v="11301"/>
    <n v="45204"/>
    <x v="2"/>
    <n v="4"/>
  </r>
  <r>
    <x v="16"/>
    <s v="2024-03-15"/>
    <x v="3"/>
    <x v="5"/>
    <x v="1"/>
    <n v="4"/>
    <n v="1260"/>
    <n v="5040"/>
    <x v="1"/>
    <n v="6"/>
  </r>
  <r>
    <x v="17"/>
    <s v="2024-02-05"/>
    <x v="3"/>
    <x v="6"/>
    <x v="0"/>
    <n v="3"/>
    <n v="1771"/>
    <n v="5313"/>
    <x v="0"/>
    <n v="7"/>
  </r>
  <r>
    <x v="18"/>
    <s v="2024-03-15"/>
    <x v="3"/>
    <x v="5"/>
    <x v="1"/>
    <n v="3"/>
    <n v="1819"/>
    <n v="5457"/>
    <x v="0"/>
    <n v="6"/>
  </r>
  <r>
    <x v="19"/>
    <s v="2024-02-18"/>
    <x v="1"/>
    <x v="4"/>
    <x v="0"/>
    <n v="3"/>
    <n v="10009"/>
    <n v="30027"/>
    <x v="1"/>
    <n v="3"/>
  </r>
  <r>
    <x v="20"/>
    <s v="2024-01-27"/>
    <x v="2"/>
    <x v="7"/>
    <x v="1"/>
    <n v="1"/>
    <n v="6021"/>
    <n v="6021"/>
    <x v="2"/>
    <n v="10"/>
  </r>
  <r>
    <x v="21"/>
    <s v="2024-03-13"/>
    <x v="2"/>
    <x v="1"/>
    <x v="0"/>
    <n v="3"/>
    <n v="2108"/>
    <n v="6324"/>
    <x v="0"/>
    <n v="7"/>
  </r>
  <r>
    <x v="22"/>
    <s v="2024-01-23"/>
    <x v="0"/>
    <x v="3"/>
    <x v="0"/>
    <n v="4"/>
    <n v="14301"/>
    <n v="57204"/>
    <x v="2"/>
    <n v="5"/>
  </r>
  <r>
    <x v="23"/>
    <s v="2024-02-26"/>
    <x v="3"/>
    <x v="6"/>
    <x v="0"/>
    <n v="3"/>
    <n v="2171"/>
    <n v="6513"/>
    <x v="3"/>
    <n v="9"/>
  </r>
  <r>
    <x v="24"/>
    <s v="2024-02-28"/>
    <x v="3"/>
    <x v="6"/>
    <x v="0"/>
    <n v="2"/>
    <n v="3644"/>
    <n v="7288"/>
    <x v="1"/>
    <n v="2"/>
  </r>
  <r>
    <x v="25"/>
    <s v="2024-02-13"/>
    <x v="2"/>
    <x v="6"/>
    <x v="0"/>
    <n v="2"/>
    <n v="3989"/>
    <n v="7978"/>
    <x v="3"/>
    <n v="2"/>
  </r>
  <r>
    <x v="26"/>
    <s v="2024-02-03"/>
    <x v="2"/>
    <x v="7"/>
    <x v="1"/>
    <n v="2"/>
    <n v="4061"/>
    <n v="8122"/>
    <x v="1"/>
    <n v="7"/>
  </r>
  <r>
    <x v="27"/>
    <s v="2024-03-14"/>
    <x v="1"/>
    <x v="4"/>
    <x v="0"/>
    <n v="2"/>
    <n v="13514"/>
    <n v="27028"/>
    <x v="3"/>
    <n v="6"/>
  </r>
  <r>
    <x v="28"/>
    <s v="2024-01-24"/>
    <x v="2"/>
    <x v="5"/>
    <x v="1"/>
    <n v="2"/>
    <n v="4332"/>
    <n v="8664"/>
    <x v="3"/>
    <n v="6"/>
  </r>
  <r>
    <x v="29"/>
    <s v="2024-02-12"/>
    <x v="1"/>
    <x v="4"/>
    <x v="0"/>
    <n v="2"/>
    <n v="13284"/>
    <n v="26568"/>
    <x v="0"/>
    <n v="3"/>
  </r>
  <r>
    <x v="30"/>
    <s v="2024-02-24"/>
    <x v="1"/>
    <x v="4"/>
    <x v="0"/>
    <n v="2"/>
    <n v="10665"/>
    <n v="21330"/>
    <x v="0"/>
    <n v="8"/>
  </r>
  <r>
    <x v="31"/>
    <s v="2024-02-12"/>
    <x v="2"/>
    <x v="4"/>
    <x v="0"/>
    <n v="1"/>
    <n v="11079"/>
    <n v="11079"/>
    <x v="2"/>
    <n v="9"/>
  </r>
  <r>
    <x v="32"/>
    <s v="2024-01-16"/>
    <x v="0"/>
    <x v="3"/>
    <x v="0"/>
    <n v="3"/>
    <n v="14327"/>
    <n v="42981"/>
    <x v="3"/>
    <n v="5"/>
  </r>
  <r>
    <x v="33"/>
    <s v="2024-01-12"/>
    <x v="1"/>
    <x v="4"/>
    <x v="0"/>
    <n v="2"/>
    <n v="10390"/>
    <n v="20780"/>
    <x v="2"/>
    <n v="6"/>
  </r>
  <r>
    <x v="34"/>
    <s v="2024-03-01"/>
    <x v="0"/>
    <x v="4"/>
    <x v="0"/>
    <n v="4"/>
    <n v="10603"/>
    <n v="42412"/>
    <x v="0"/>
    <n v="6"/>
  </r>
  <r>
    <x v="35"/>
    <s v="2024-03-23"/>
    <x v="2"/>
    <x v="6"/>
    <x v="0"/>
    <n v="3"/>
    <n v="3875"/>
    <n v="11625"/>
    <x v="0"/>
    <n v="4"/>
  </r>
  <r>
    <x v="36"/>
    <s v="2024-01-30"/>
    <x v="3"/>
    <x v="4"/>
    <x v="0"/>
    <n v="1"/>
    <n v="12073"/>
    <n v="12073"/>
    <x v="0"/>
    <n v="4"/>
  </r>
  <r>
    <x v="37"/>
    <s v="2024-02-24"/>
    <x v="1"/>
    <x v="3"/>
    <x v="0"/>
    <n v="1"/>
    <n v="16628"/>
    <n v="16628"/>
    <x v="1"/>
    <n v="3"/>
  </r>
  <r>
    <x v="38"/>
    <s v="2024-03-05"/>
    <x v="0"/>
    <x v="2"/>
    <x v="0"/>
    <n v="2"/>
    <n v="21107"/>
    <n v="42214"/>
    <x v="3"/>
    <n v="7"/>
  </r>
  <r>
    <x v="39"/>
    <s v="2024-01-08"/>
    <x v="2"/>
    <x v="6"/>
    <x v="0"/>
    <n v="3"/>
    <n v="4389"/>
    <n v="13167"/>
    <x v="1"/>
    <n v="9"/>
  </r>
  <r>
    <x v="40"/>
    <s v="2024-01-24"/>
    <x v="0"/>
    <x v="2"/>
    <x v="0"/>
    <n v="2"/>
    <n v="20941"/>
    <n v="41882"/>
    <x v="0"/>
    <n v="6"/>
  </r>
  <r>
    <x v="41"/>
    <s v="2024-01-14"/>
    <x v="1"/>
    <x v="7"/>
    <x v="1"/>
    <n v="4"/>
    <n v="3623"/>
    <n v="14492"/>
    <x v="0"/>
    <n v="4"/>
  </r>
  <r>
    <x v="42"/>
    <s v="2024-01-02"/>
    <x v="3"/>
    <x v="7"/>
    <x v="1"/>
    <n v="4"/>
    <n v="3516"/>
    <n v="14064"/>
    <x v="3"/>
    <n v="7"/>
  </r>
  <r>
    <x v="43"/>
    <s v="2024-03-22"/>
    <x v="3"/>
    <x v="3"/>
    <x v="0"/>
    <n v="1"/>
    <n v="14202"/>
    <n v="14202"/>
    <x v="1"/>
    <n v="7"/>
  </r>
  <r>
    <x v="44"/>
    <s v="2024-02-16"/>
    <x v="1"/>
    <x v="6"/>
    <x v="0"/>
    <n v="3"/>
    <n v="4661"/>
    <n v="13983"/>
    <x v="0"/>
    <n v="10"/>
  </r>
  <r>
    <x v="45"/>
    <s v="2024-02-18"/>
    <x v="0"/>
    <x v="3"/>
    <x v="0"/>
    <n v="2"/>
    <n v="16308"/>
    <n v="32616"/>
    <x v="1"/>
    <n v="5"/>
  </r>
  <r>
    <x v="46"/>
    <s v="2024-01-01"/>
    <x v="0"/>
    <x v="4"/>
    <x v="0"/>
    <n v="3"/>
    <n v="10553"/>
    <n v="31659"/>
    <x v="1"/>
    <n v="10"/>
  </r>
  <r>
    <x v="47"/>
    <s v="2024-01-12"/>
    <x v="2"/>
    <x v="3"/>
    <x v="0"/>
    <n v="1"/>
    <n v="15709"/>
    <n v="15709"/>
    <x v="1"/>
    <n v="9"/>
  </r>
  <r>
    <x v="48"/>
    <s v="2024-01-17"/>
    <x v="1"/>
    <x v="7"/>
    <x v="1"/>
    <n v="4"/>
    <n v="3185"/>
    <n v="12740"/>
    <x v="1"/>
    <n v="4"/>
  </r>
  <r>
    <x v="49"/>
    <s v="2024-01-23"/>
    <x v="0"/>
    <x v="2"/>
    <x v="0"/>
    <n v="1"/>
    <n v="21857"/>
    <n v="21857"/>
    <x v="1"/>
    <n v="2"/>
  </r>
  <r>
    <x v="50"/>
    <s v="2024-03-26"/>
    <x v="0"/>
    <x v="4"/>
    <x v="0"/>
    <n v="2"/>
    <n v="10194"/>
    <n v="20388"/>
    <x v="3"/>
    <n v="8"/>
  </r>
  <r>
    <x v="51"/>
    <s v="2024-03-05"/>
    <x v="1"/>
    <x v="5"/>
    <x v="1"/>
    <n v="3"/>
    <n v="3732"/>
    <n v="11196"/>
    <x v="0"/>
    <n v="6"/>
  </r>
  <r>
    <x v="52"/>
    <s v="2024-03-10"/>
    <x v="1"/>
    <x v="7"/>
    <x v="1"/>
    <n v="2"/>
    <n v="5506"/>
    <n v="11012"/>
    <x v="3"/>
    <n v="3"/>
  </r>
  <r>
    <x v="53"/>
    <s v="2024-03-02"/>
    <x v="0"/>
    <x v="6"/>
    <x v="0"/>
    <n v="4"/>
    <n v="4356"/>
    <n v="17424"/>
    <x v="3"/>
    <n v="3"/>
  </r>
  <r>
    <x v="54"/>
    <s v="2024-01-05"/>
    <x v="2"/>
    <x v="7"/>
    <x v="1"/>
    <n v="4"/>
    <n v="5992"/>
    <n v="23968"/>
    <x v="0"/>
    <n v="4"/>
  </r>
  <r>
    <x v="55"/>
    <s v="2024-02-20"/>
    <x v="2"/>
    <x v="4"/>
    <x v="0"/>
    <n v="2"/>
    <n v="12621"/>
    <n v="25242"/>
    <x v="1"/>
    <n v="7"/>
  </r>
  <r>
    <x v="56"/>
    <s v="2024-01-04"/>
    <x v="2"/>
    <x v="4"/>
    <x v="0"/>
    <n v="2"/>
    <n v="13081"/>
    <n v="26162"/>
    <x v="2"/>
    <n v="2"/>
  </r>
  <r>
    <x v="57"/>
    <s v="2024-01-20"/>
    <x v="3"/>
    <x v="3"/>
    <x v="0"/>
    <n v="2"/>
    <n v="13253"/>
    <n v="26506"/>
    <x v="1"/>
    <n v="3"/>
  </r>
  <r>
    <x v="58"/>
    <s v="2024-01-11"/>
    <x v="1"/>
    <x v="5"/>
    <x v="1"/>
    <n v="2"/>
    <n v="4355"/>
    <n v="8710"/>
    <x v="0"/>
    <n v="8"/>
  </r>
  <r>
    <x v="59"/>
    <s v="2024-03-12"/>
    <x v="1"/>
    <x v="6"/>
    <x v="0"/>
    <n v="2"/>
    <n v="4285"/>
    <n v="8570"/>
    <x v="3"/>
    <n v="6"/>
  </r>
  <r>
    <x v="60"/>
    <s v="2024-01-23"/>
    <x v="2"/>
    <x v="7"/>
    <x v="1"/>
    <n v="4"/>
    <n v="6773"/>
    <n v="27092"/>
    <x v="0"/>
    <n v="9"/>
  </r>
  <r>
    <x v="61"/>
    <s v="2024-01-09"/>
    <x v="3"/>
    <x v="4"/>
    <x v="0"/>
    <n v="2"/>
    <n v="13552"/>
    <n v="27104"/>
    <x v="1"/>
    <n v="3"/>
  </r>
  <r>
    <x v="62"/>
    <s v="2024-01-19"/>
    <x v="1"/>
    <x v="6"/>
    <x v="0"/>
    <n v="2"/>
    <n v="2824"/>
    <n v="5648"/>
    <x v="3"/>
    <n v="5"/>
  </r>
  <r>
    <x v="63"/>
    <s v="2024-02-09"/>
    <x v="0"/>
    <x v="3"/>
    <x v="0"/>
    <n v="1"/>
    <n v="15168"/>
    <n v="15168"/>
    <x v="0"/>
    <n v="10"/>
  </r>
  <r>
    <x v="64"/>
    <s v="2024-01-23"/>
    <x v="2"/>
    <x v="3"/>
    <x v="0"/>
    <n v="2"/>
    <n v="16049"/>
    <n v="32098"/>
    <x v="3"/>
    <n v="9"/>
  </r>
  <r>
    <x v="65"/>
    <s v="2024-02-10"/>
    <x v="0"/>
    <x v="5"/>
    <x v="1"/>
    <n v="4"/>
    <n v="3728"/>
    <n v="14912"/>
    <x v="3"/>
    <n v="10"/>
  </r>
  <r>
    <x v="66"/>
    <s v="2024-03-13"/>
    <x v="2"/>
    <x v="4"/>
    <x v="0"/>
    <n v="3"/>
    <n v="12052"/>
    <n v="36156"/>
    <x v="0"/>
    <n v="8"/>
  </r>
  <r>
    <x v="67"/>
    <s v="2024-03-28"/>
    <x v="2"/>
    <x v="2"/>
    <x v="0"/>
    <n v="2"/>
    <n v="18193"/>
    <n v="36386"/>
    <x v="1"/>
    <n v="8"/>
  </r>
  <r>
    <x v="68"/>
    <s v="2024-02-16"/>
    <x v="3"/>
    <x v="4"/>
    <x v="0"/>
    <n v="3"/>
    <n v="13358"/>
    <n v="40074"/>
    <x v="2"/>
    <n v="8"/>
  </r>
  <r>
    <x v="69"/>
    <s v="2024-03-13"/>
    <x v="2"/>
    <x v="2"/>
    <x v="0"/>
    <n v="2"/>
    <n v="20247"/>
    <n v="40494"/>
    <x v="1"/>
    <n v="9"/>
  </r>
  <r>
    <x v="70"/>
    <s v="2024-01-12"/>
    <x v="0"/>
    <x v="5"/>
    <x v="1"/>
    <n v="3"/>
    <n v="4643"/>
    <n v="13929"/>
    <x v="3"/>
    <n v="4"/>
  </r>
  <r>
    <x v="71"/>
    <s v="2024-02-19"/>
    <x v="3"/>
    <x v="3"/>
    <x v="0"/>
    <n v="3"/>
    <n v="14022"/>
    <n v="42066"/>
    <x v="2"/>
    <n v="10"/>
  </r>
  <r>
    <x v="72"/>
    <s v="2024-02-28"/>
    <x v="0"/>
    <x v="4"/>
    <x v="0"/>
    <n v="1"/>
    <n v="13096"/>
    <n v="13096"/>
    <x v="3"/>
    <n v="3"/>
  </r>
  <r>
    <x v="73"/>
    <s v="2024-01-02"/>
    <x v="0"/>
    <x v="7"/>
    <x v="1"/>
    <n v="2"/>
    <n v="5670"/>
    <n v="11340"/>
    <x v="2"/>
    <n v="3"/>
  </r>
  <r>
    <x v="74"/>
    <s v="2024-01-11"/>
    <x v="0"/>
    <x v="7"/>
    <x v="1"/>
    <n v="2"/>
    <n v="5591"/>
    <n v="11182"/>
    <x v="3"/>
    <n v="8"/>
  </r>
  <r>
    <x v="75"/>
    <s v="2024-02-26"/>
    <x v="1"/>
    <x v="1"/>
    <x v="0"/>
    <n v="2"/>
    <n v="2341"/>
    <n v="4682"/>
    <x v="1"/>
    <n v="7"/>
  </r>
  <r>
    <x v="76"/>
    <s v="2024-01-13"/>
    <x v="3"/>
    <x v="3"/>
    <x v="0"/>
    <n v="3"/>
    <n v="15556"/>
    <n v="46668"/>
    <x v="1"/>
    <n v="6"/>
  </r>
  <r>
    <x v="77"/>
    <s v="2024-02-01"/>
    <x v="2"/>
    <x v="4"/>
    <x v="0"/>
    <n v="4"/>
    <n v="12466"/>
    <n v="49864"/>
    <x v="3"/>
    <n v="10"/>
  </r>
  <r>
    <x v="78"/>
    <s v="2024-01-10"/>
    <x v="2"/>
    <x v="2"/>
    <x v="0"/>
    <n v="3"/>
    <n v="18156"/>
    <n v="54468"/>
    <x v="0"/>
    <n v="10"/>
  </r>
  <r>
    <x v="79"/>
    <s v="2024-01-14"/>
    <x v="0"/>
    <x v="7"/>
    <x v="1"/>
    <n v="2"/>
    <n v="3189"/>
    <n v="6378"/>
    <x v="3"/>
    <n v="7"/>
  </r>
  <r>
    <x v="80"/>
    <s v="2024-01-16"/>
    <x v="2"/>
    <x v="0"/>
    <x v="0"/>
    <n v="1"/>
    <n v="59221"/>
    <n v="59221"/>
    <x v="1"/>
    <n v="2"/>
  </r>
  <r>
    <x v="81"/>
    <s v="2024-03-18"/>
    <x v="1"/>
    <x v="1"/>
    <x v="0"/>
    <n v="4"/>
    <n v="1003"/>
    <n v="4012"/>
    <x v="2"/>
    <n v="10"/>
  </r>
  <r>
    <x v="82"/>
    <s v="2024-02-03"/>
    <x v="3"/>
    <x v="3"/>
    <x v="0"/>
    <n v="4"/>
    <n v="15250"/>
    <n v="61000"/>
    <x v="2"/>
    <n v="2"/>
  </r>
  <r>
    <x v="83"/>
    <s v="2024-02-22"/>
    <x v="1"/>
    <x v="6"/>
    <x v="0"/>
    <n v="2"/>
    <n v="1720"/>
    <n v="3440"/>
    <x v="0"/>
    <n v="2"/>
  </r>
  <r>
    <x v="84"/>
    <s v="2024-01-09"/>
    <x v="0"/>
    <x v="7"/>
    <x v="1"/>
    <n v="1"/>
    <n v="4579"/>
    <n v="4579"/>
    <x v="3"/>
    <n v="8"/>
  </r>
  <r>
    <x v="85"/>
    <s v="2024-01-18"/>
    <x v="1"/>
    <x v="5"/>
    <x v="1"/>
    <n v="1"/>
    <n v="3197"/>
    <n v="3197"/>
    <x v="3"/>
    <n v="2"/>
  </r>
  <r>
    <x v="86"/>
    <s v="2024-03-12"/>
    <x v="0"/>
    <x v="6"/>
    <x v="0"/>
    <n v="1"/>
    <n v="4059"/>
    <n v="4059"/>
    <x v="3"/>
    <n v="10"/>
  </r>
  <r>
    <x v="87"/>
    <s v="2024-02-13"/>
    <x v="2"/>
    <x v="0"/>
    <x v="0"/>
    <n v="2"/>
    <n v="58070"/>
    <n v="116140"/>
    <x v="2"/>
    <n v="9"/>
  </r>
  <r>
    <x v="88"/>
    <s v="2024-02-05"/>
    <x v="0"/>
    <x v="1"/>
    <x v="0"/>
    <n v="2"/>
    <n v="1581"/>
    <n v="3162"/>
    <x v="2"/>
    <n v="2"/>
  </r>
  <r>
    <x v="89"/>
    <s v="2024-02-02"/>
    <x v="0"/>
    <x v="1"/>
    <x v="0"/>
    <n v="2"/>
    <n v="1225"/>
    <n v="2450"/>
    <x v="3"/>
    <n v="10"/>
  </r>
  <r>
    <x v="90"/>
    <s v="2024-02-26"/>
    <x v="1"/>
    <x v="1"/>
    <x v="0"/>
    <n v="2"/>
    <n v="1189"/>
    <n v="2378"/>
    <x v="0"/>
    <n v="9"/>
  </r>
  <r>
    <x v="91"/>
    <s v="2024-03-05"/>
    <x v="1"/>
    <x v="5"/>
    <x v="1"/>
    <n v="2"/>
    <n v="1171"/>
    <n v="2342"/>
    <x v="1"/>
    <n v="5"/>
  </r>
  <r>
    <x v="92"/>
    <s v="2024-02-21"/>
    <x v="3"/>
    <x v="0"/>
    <x v="0"/>
    <n v="3"/>
    <n v="59013"/>
    <n v="177039"/>
    <x v="2"/>
    <n v="7"/>
  </r>
  <r>
    <x v="93"/>
    <s v="2024-03-23"/>
    <x v="3"/>
    <x v="0"/>
    <x v="0"/>
    <n v="3"/>
    <n v="59702"/>
    <n v="179106"/>
    <x v="2"/>
    <n v="2"/>
  </r>
  <r>
    <x v="94"/>
    <s v="2024-02-20"/>
    <x v="0"/>
    <x v="6"/>
    <x v="0"/>
    <n v="1"/>
    <n v="1403"/>
    <n v="1403"/>
    <x v="3"/>
    <n v="4"/>
  </r>
  <r>
    <x v="95"/>
    <s v="2024-01-05"/>
    <x v="3"/>
    <x v="0"/>
    <x v="0"/>
    <n v="3"/>
    <n v="61808"/>
    <n v="185424"/>
    <x v="0"/>
    <n v="9"/>
  </r>
  <r>
    <x v="96"/>
    <s v="2024-02-12"/>
    <x v="3"/>
    <x v="0"/>
    <x v="0"/>
    <n v="4"/>
    <n v="58417"/>
    <n v="233668"/>
    <x v="3"/>
    <n v="10"/>
  </r>
  <r>
    <x v="97"/>
    <s v="2024-01-12"/>
    <x v="1"/>
    <x v="6"/>
    <x v="0"/>
    <n v="1"/>
    <n v="1079"/>
    <n v="1079"/>
    <x v="0"/>
    <n v="8"/>
  </r>
  <r>
    <x v="98"/>
    <s v="2024-03-15"/>
    <x v="0"/>
    <x v="1"/>
    <x v="0"/>
    <n v="1"/>
    <n v="17"/>
    <n v="17"/>
    <x v="1"/>
    <n v="4"/>
  </r>
  <r>
    <x v="99"/>
    <s v="2024-03-17"/>
    <x v="3"/>
    <x v="0"/>
    <x v="0"/>
    <n v="4"/>
    <n v="60438"/>
    <n v="241752"/>
    <x v="3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5754C-E804-4509-ACFC-5D1D1821F440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4:L9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69A99-9130-413F-9571-D722A1454DC8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7" firstHeaderRow="1" firstDataRow="1" firstDataCol="1"/>
  <pivotFields count="10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1B7BA-7638-494E-B201-F40DDF942B88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4:F13" firstHeaderRow="1" firstDataRow="1" firstDataCol="1"/>
  <pivotFields count="10">
    <pivotField showAll="0"/>
    <pivotField showAll="0"/>
    <pivotField showAll="0"/>
    <pivotField axis="axisRow" showAll="0">
      <items count="9">
        <item x="5"/>
        <item x="6"/>
        <item x="1"/>
        <item x="0"/>
        <item x="3"/>
        <item x="2"/>
        <item x="4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5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E0F92-B423-4A66-BA89-36D2BD7B55B8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4:C9" firstHeaderRow="1" firstDataRow="1" firstDataCol="1"/>
  <pivotFields count="10"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13EFA-D865-458A-A23F-1651E0ED12D1}" name="Table1" displayName="Table1" ref="A1:J101" totalsRowShown="0" headerRowDxfId="4">
  <autoFilter ref="A1:J101" xr:uid="{28213EFA-D865-458A-A23F-1651E0ED12D1}">
    <filterColumn colId="8">
      <filters>
        <filter val="Cash"/>
      </filters>
    </filterColumn>
  </autoFilter>
  <sortState xmlns:xlrd2="http://schemas.microsoft.com/office/spreadsheetml/2017/richdata2" ref="A2:J100">
    <sortCondition descending="1" ref="H1:H101"/>
  </sortState>
  <tableColumns count="10">
    <tableColumn id="1" xr3:uid="{0D9A434C-6DFA-4EE8-86D4-26486DB716AF}" name="OrderID"/>
    <tableColumn id="2" xr3:uid="{25834E23-5A83-430B-8009-75F7014CA78F}" name="Date"/>
    <tableColumn id="3" xr3:uid="{98785929-7DA9-4DB9-9CAF-C09746ACAD6D}" name="Region"/>
    <tableColumn id="4" xr3:uid="{69B8AB30-1C76-4A51-B56F-6ECC5B9F760D}" name="Product"/>
    <tableColumn id="5" xr3:uid="{6C9AF834-B5BA-4FE8-ADB6-31F83778C431}" name="Category"/>
    <tableColumn id="6" xr3:uid="{DEB65837-C20C-4D8E-82AE-7C2BC3328F27}" name="Quantity"/>
    <tableColumn id="7" xr3:uid="{F5B87631-F782-49C2-875A-FA75F36D2CBE}" name="Price"/>
    <tableColumn id="8" xr3:uid="{D4175644-CA77-42BA-A2B5-A71BA80F1041}" name="Revenue"/>
    <tableColumn id="9" xr3:uid="{B55407D1-30D7-41E6-AAF6-CFA0762A2FBD}" name="Payment"/>
    <tableColumn id="10" xr3:uid="{0E3C7C6D-5501-417F-A956-4D9A9E6BD6E1}" name="DeliveryDay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702B80-D3EA-4D0A-A40E-3431CDCB2BD8}" name="Table2" displayName="Table2" ref="B3:C9" totalsRowShown="0" headerRowDxfId="3" dataDxfId="2">
  <autoFilter ref="B3:C9" xr:uid="{3F702B80-D3EA-4D0A-A40E-3431CDCB2BD8}"/>
  <tableColumns count="2">
    <tableColumn id="1" xr3:uid="{EC31868E-1F9A-4EE2-8DAC-6E274E53F979}" name="Metric" dataDxfId="1"/>
    <tableColumn id="2" xr3:uid="{6D3FCEF5-3923-4CC5-94E2-020F4D232C34}" name="Formula" dataDxfId="0">
      <calculatedColumnFormula>SUM(Retail_Sales_Data!H:H)</calculatedColumnFormula>
    </tableColumn>
  </tableColumns>
  <tableStyleInfo name="TableStyleMedium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M42" sqref="M42"/>
    </sheetView>
  </sheetViews>
  <sheetFormatPr defaultRowHeight="14.5" x14ac:dyDescent="0.3"/>
  <cols>
    <col min="1" max="1" width="9.5" customWidth="1"/>
    <col min="4" max="4" width="14.33203125" customWidth="1"/>
    <col min="5" max="5" width="10.25" customWidth="1"/>
    <col min="6" max="6" width="10.1640625" customWidth="1"/>
    <col min="8" max="8" width="9.9140625" customWidth="1"/>
    <col min="9" max="9" width="10.25" customWidth="1"/>
    <col min="10" max="10" width="13.5" customWidth="1"/>
  </cols>
  <sheetData>
    <row r="1" spans="1:10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" x14ac:dyDescent="0.3">
      <c r="A2">
        <v>1072</v>
      </c>
      <c r="B2" t="s">
        <v>80</v>
      </c>
      <c r="C2" t="s">
        <v>23</v>
      </c>
      <c r="D2" t="s">
        <v>12</v>
      </c>
      <c r="E2" t="s">
        <v>13</v>
      </c>
      <c r="F2">
        <v>4</v>
      </c>
      <c r="G2">
        <v>59772</v>
      </c>
      <c r="H2">
        <v>239088</v>
      </c>
      <c r="I2" t="s">
        <v>21</v>
      </c>
      <c r="J2">
        <v>5</v>
      </c>
    </row>
    <row r="3" spans="1:10" ht="14" hidden="1" x14ac:dyDescent="0.3">
      <c r="A3">
        <v>1043</v>
      </c>
      <c r="B3" t="s">
        <v>65</v>
      </c>
      <c r="C3" t="s">
        <v>32</v>
      </c>
      <c r="D3" t="s">
        <v>12</v>
      </c>
      <c r="E3" t="s">
        <v>13</v>
      </c>
      <c r="F3">
        <v>4</v>
      </c>
      <c r="G3">
        <v>59033</v>
      </c>
      <c r="H3">
        <v>236132</v>
      </c>
      <c r="I3" t="s">
        <v>17</v>
      </c>
      <c r="J3">
        <v>2</v>
      </c>
    </row>
    <row r="4" spans="1:10" ht="14" hidden="1" x14ac:dyDescent="0.3">
      <c r="A4">
        <v>1029</v>
      </c>
      <c r="B4" t="s">
        <v>53</v>
      </c>
      <c r="C4" t="s">
        <v>23</v>
      </c>
      <c r="D4" t="s">
        <v>12</v>
      </c>
      <c r="E4" t="s">
        <v>13</v>
      </c>
      <c r="F4">
        <v>3</v>
      </c>
      <c r="G4">
        <v>61267</v>
      </c>
      <c r="H4">
        <v>183801</v>
      </c>
      <c r="I4" t="s">
        <v>17</v>
      </c>
      <c r="J4">
        <v>3</v>
      </c>
    </row>
    <row r="5" spans="1:10" ht="14" hidden="1" x14ac:dyDescent="0.3">
      <c r="A5">
        <v>1012</v>
      </c>
      <c r="B5" t="s">
        <v>25</v>
      </c>
      <c r="C5" t="s">
        <v>26</v>
      </c>
      <c r="D5" t="s">
        <v>36</v>
      </c>
      <c r="E5" t="s">
        <v>13</v>
      </c>
      <c r="F5">
        <v>1</v>
      </c>
      <c r="G5">
        <v>2030</v>
      </c>
      <c r="H5">
        <v>2030</v>
      </c>
      <c r="I5" t="s">
        <v>30</v>
      </c>
      <c r="J5">
        <v>3</v>
      </c>
    </row>
    <row r="6" spans="1:10" ht="14" hidden="1" x14ac:dyDescent="0.3">
      <c r="A6">
        <v>1089</v>
      </c>
      <c r="B6" t="s">
        <v>48</v>
      </c>
      <c r="C6" t="s">
        <v>26</v>
      </c>
      <c r="D6" t="s">
        <v>36</v>
      </c>
      <c r="E6" t="s">
        <v>13</v>
      </c>
      <c r="F6">
        <v>2</v>
      </c>
      <c r="G6">
        <v>1090</v>
      </c>
      <c r="H6">
        <v>2180</v>
      </c>
      <c r="I6" t="s">
        <v>14</v>
      </c>
      <c r="J6">
        <v>8</v>
      </c>
    </row>
    <row r="7" spans="1:10" ht="14" hidden="1" x14ac:dyDescent="0.3">
      <c r="A7">
        <v>1077</v>
      </c>
      <c r="B7" t="s">
        <v>49</v>
      </c>
      <c r="C7" t="s">
        <v>26</v>
      </c>
      <c r="D7" t="s">
        <v>36</v>
      </c>
      <c r="E7" t="s">
        <v>13</v>
      </c>
      <c r="F7">
        <v>1</v>
      </c>
      <c r="G7">
        <v>2331</v>
      </c>
      <c r="H7">
        <v>2331</v>
      </c>
      <c r="I7" t="s">
        <v>14</v>
      </c>
      <c r="J7">
        <v>10</v>
      </c>
    </row>
    <row r="8" spans="1:10" ht="14" hidden="1" x14ac:dyDescent="0.3">
      <c r="A8">
        <v>1053</v>
      </c>
      <c r="B8" t="s">
        <v>69</v>
      </c>
      <c r="C8" t="s">
        <v>32</v>
      </c>
      <c r="D8" t="s">
        <v>12</v>
      </c>
      <c r="E8" t="s">
        <v>13</v>
      </c>
      <c r="F8">
        <v>3</v>
      </c>
      <c r="G8">
        <v>58784</v>
      </c>
      <c r="H8">
        <v>176352</v>
      </c>
      <c r="I8" t="s">
        <v>14</v>
      </c>
      <c r="J8">
        <v>6</v>
      </c>
    </row>
    <row r="9" spans="1:10" ht="14" hidden="1" x14ac:dyDescent="0.3">
      <c r="A9">
        <v>1067</v>
      </c>
      <c r="B9" t="s">
        <v>77</v>
      </c>
      <c r="C9" t="s">
        <v>32</v>
      </c>
      <c r="D9" t="s">
        <v>12</v>
      </c>
      <c r="E9" t="s">
        <v>13</v>
      </c>
      <c r="F9">
        <v>2</v>
      </c>
      <c r="G9">
        <v>59785</v>
      </c>
      <c r="H9">
        <v>119570</v>
      </c>
      <c r="I9" t="s">
        <v>14</v>
      </c>
      <c r="J9">
        <v>10</v>
      </c>
    </row>
    <row r="10" spans="1:10" ht="14" hidden="1" x14ac:dyDescent="0.3">
      <c r="A10">
        <v>1059</v>
      </c>
      <c r="B10" t="s">
        <v>73</v>
      </c>
      <c r="C10" t="s">
        <v>23</v>
      </c>
      <c r="D10" t="s">
        <v>12</v>
      </c>
      <c r="E10" t="s">
        <v>13</v>
      </c>
      <c r="F10">
        <v>2</v>
      </c>
      <c r="G10">
        <v>59730</v>
      </c>
      <c r="H10">
        <v>119460</v>
      </c>
      <c r="I10" t="s">
        <v>17</v>
      </c>
      <c r="J10">
        <v>6</v>
      </c>
    </row>
    <row r="11" spans="1:10" ht="14" x14ac:dyDescent="0.3">
      <c r="A11">
        <v>1026</v>
      </c>
      <c r="B11" t="s">
        <v>50</v>
      </c>
      <c r="C11" t="s">
        <v>23</v>
      </c>
      <c r="D11" t="s">
        <v>12</v>
      </c>
      <c r="E11" t="s">
        <v>13</v>
      </c>
      <c r="F11">
        <v>2</v>
      </c>
      <c r="G11">
        <v>58245</v>
      </c>
      <c r="H11">
        <v>116490</v>
      </c>
      <c r="I11" t="s">
        <v>21</v>
      </c>
      <c r="J11">
        <v>8</v>
      </c>
    </row>
    <row r="12" spans="1:10" ht="14" x14ac:dyDescent="0.3">
      <c r="A12">
        <v>1016</v>
      </c>
      <c r="B12" t="s">
        <v>41</v>
      </c>
      <c r="C12" t="s">
        <v>32</v>
      </c>
      <c r="D12" t="s">
        <v>38</v>
      </c>
      <c r="E12" t="s">
        <v>13</v>
      </c>
      <c r="F12">
        <v>4</v>
      </c>
      <c r="G12">
        <v>20001</v>
      </c>
      <c r="H12">
        <v>80004</v>
      </c>
      <c r="I12" t="s">
        <v>21</v>
      </c>
      <c r="J12">
        <v>9</v>
      </c>
    </row>
    <row r="13" spans="1:10" ht="14" hidden="1" x14ac:dyDescent="0.3">
      <c r="A13">
        <v>1085</v>
      </c>
      <c r="B13" t="s">
        <v>70</v>
      </c>
      <c r="C13" t="s">
        <v>32</v>
      </c>
      <c r="D13" t="s">
        <v>55</v>
      </c>
      <c r="E13" t="s">
        <v>13</v>
      </c>
      <c r="F13">
        <v>4</v>
      </c>
      <c r="G13">
        <v>16952</v>
      </c>
      <c r="H13">
        <v>67808</v>
      </c>
      <c r="I13" t="s">
        <v>30</v>
      </c>
      <c r="J13">
        <v>3</v>
      </c>
    </row>
    <row r="14" spans="1:10" ht="14" hidden="1" x14ac:dyDescent="0.3">
      <c r="A14">
        <v>1019</v>
      </c>
      <c r="B14" t="s">
        <v>43</v>
      </c>
      <c r="C14" t="s">
        <v>32</v>
      </c>
      <c r="D14" t="s">
        <v>38</v>
      </c>
      <c r="E14" t="s">
        <v>13</v>
      </c>
      <c r="F14">
        <v>3</v>
      </c>
      <c r="G14">
        <v>19953</v>
      </c>
      <c r="H14">
        <v>59859</v>
      </c>
      <c r="I14" t="s">
        <v>14</v>
      </c>
      <c r="J14">
        <v>8</v>
      </c>
    </row>
    <row r="15" spans="1:10" ht="14" x14ac:dyDescent="0.3">
      <c r="A15">
        <v>1087</v>
      </c>
      <c r="B15" t="s">
        <v>84</v>
      </c>
      <c r="C15" t="s">
        <v>23</v>
      </c>
      <c r="D15" t="s">
        <v>38</v>
      </c>
      <c r="E15" t="s">
        <v>13</v>
      </c>
      <c r="F15">
        <v>4</v>
      </c>
      <c r="G15">
        <v>21062</v>
      </c>
      <c r="H15">
        <v>84248</v>
      </c>
      <c r="I15" t="s">
        <v>21</v>
      </c>
      <c r="J15">
        <v>10</v>
      </c>
    </row>
    <row r="16" spans="1:10" ht="14" x14ac:dyDescent="0.3">
      <c r="A16">
        <v>1071</v>
      </c>
      <c r="B16" t="s">
        <v>79</v>
      </c>
      <c r="C16" t="s">
        <v>23</v>
      </c>
      <c r="D16" t="s">
        <v>38</v>
      </c>
      <c r="E16" t="s">
        <v>13</v>
      </c>
      <c r="F16">
        <v>4</v>
      </c>
      <c r="G16">
        <v>18337</v>
      </c>
      <c r="H16">
        <v>73348</v>
      </c>
      <c r="I16" t="s">
        <v>21</v>
      </c>
      <c r="J16">
        <v>7</v>
      </c>
    </row>
    <row r="17" spans="1:10" ht="14" hidden="1" x14ac:dyDescent="0.3">
      <c r="A17">
        <v>1084</v>
      </c>
      <c r="B17" t="s">
        <v>41</v>
      </c>
      <c r="C17" t="s">
        <v>32</v>
      </c>
      <c r="D17" t="s">
        <v>24</v>
      </c>
      <c r="E17" t="s">
        <v>13</v>
      </c>
      <c r="F17">
        <v>4</v>
      </c>
      <c r="G17">
        <v>11301</v>
      </c>
      <c r="H17">
        <v>45204</v>
      </c>
      <c r="I17" t="s">
        <v>30</v>
      </c>
      <c r="J17">
        <v>4</v>
      </c>
    </row>
    <row r="18" spans="1:10" ht="14" hidden="1" x14ac:dyDescent="0.3">
      <c r="A18">
        <v>1070</v>
      </c>
      <c r="B18" t="s">
        <v>18</v>
      </c>
      <c r="C18" t="s">
        <v>11</v>
      </c>
      <c r="D18" t="s">
        <v>19</v>
      </c>
      <c r="E18" t="s">
        <v>20</v>
      </c>
      <c r="F18">
        <v>4</v>
      </c>
      <c r="G18">
        <v>1260</v>
      </c>
      <c r="H18">
        <v>5040</v>
      </c>
      <c r="I18" t="s">
        <v>17</v>
      </c>
      <c r="J18">
        <v>6</v>
      </c>
    </row>
    <row r="19" spans="1:10" ht="14" x14ac:dyDescent="0.3">
      <c r="A19">
        <v>1014</v>
      </c>
      <c r="B19" t="s">
        <v>39</v>
      </c>
      <c r="C19" t="s">
        <v>11</v>
      </c>
      <c r="D19" t="s">
        <v>16</v>
      </c>
      <c r="E19" t="s">
        <v>13</v>
      </c>
      <c r="F19">
        <v>3</v>
      </c>
      <c r="G19">
        <v>1771</v>
      </c>
      <c r="H19">
        <v>5313</v>
      </c>
      <c r="I19" t="s">
        <v>21</v>
      </c>
      <c r="J19">
        <v>7</v>
      </c>
    </row>
    <row r="20" spans="1:10" ht="14" x14ac:dyDescent="0.3">
      <c r="A20">
        <v>1003</v>
      </c>
      <c r="B20" t="s">
        <v>18</v>
      </c>
      <c r="C20" t="s">
        <v>11</v>
      </c>
      <c r="D20" t="s">
        <v>19</v>
      </c>
      <c r="E20" t="s">
        <v>20</v>
      </c>
      <c r="F20">
        <v>3</v>
      </c>
      <c r="G20">
        <v>1819</v>
      </c>
      <c r="H20">
        <v>5457</v>
      </c>
      <c r="I20" t="s">
        <v>21</v>
      </c>
      <c r="J20">
        <v>6</v>
      </c>
    </row>
    <row r="21" spans="1:10" ht="14" hidden="1" x14ac:dyDescent="0.3">
      <c r="A21">
        <v>1082</v>
      </c>
      <c r="B21" t="s">
        <v>54</v>
      </c>
      <c r="C21" t="s">
        <v>32</v>
      </c>
      <c r="D21" t="s">
        <v>24</v>
      </c>
      <c r="E21" t="s">
        <v>13</v>
      </c>
      <c r="F21">
        <v>3</v>
      </c>
      <c r="G21">
        <v>10009</v>
      </c>
      <c r="H21">
        <v>30027</v>
      </c>
      <c r="I21" t="s">
        <v>17</v>
      </c>
      <c r="J21">
        <v>3</v>
      </c>
    </row>
    <row r="22" spans="1:10" ht="14" hidden="1" x14ac:dyDescent="0.3">
      <c r="A22">
        <v>1010</v>
      </c>
      <c r="B22" t="s">
        <v>34</v>
      </c>
      <c r="C22" t="s">
        <v>26</v>
      </c>
      <c r="D22" t="s">
        <v>28</v>
      </c>
      <c r="E22" t="s">
        <v>20</v>
      </c>
      <c r="F22">
        <v>1</v>
      </c>
      <c r="G22">
        <v>6021</v>
      </c>
      <c r="H22">
        <v>6021</v>
      </c>
      <c r="I22" t="s">
        <v>30</v>
      </c>
      <c r="J22">
        <v>10</v>
      </c>
    </row>
    <row r="23" spans="1:10" ht="14" x14ac:dyDescent="0.3">
      <c r="A23">
        <v>1055</v>
      </c>
      <c r="B23" t="s">
        <v>66</v>
      </c>
      <c r="C23" t="s">
        <v>26</v>
      </c>
      <c r="D23" t="s">
        <v>36</v>
      </c>
      <c r="E23" t="s">
        <v>13</v>
      </c>
      <c r="F23">
        <v>3</v>
      </c>
      <c r="G23">
        <v>2108</v>
      </c>
      <c r="H23">
        <v>6324</v>
      </c>
      <c r="I23" t="s">
        <v>21</v>
      </c>
      <c r="J23">
        <v>7</v>
      </c>
    </row>
    <row r="24" spans="1:10" ht="14" hidden="1" x14ac:dyDescent="0.3">
      <c r="A24">
        <v>1079</v>
      </c>
      <c r="B24" t="s">
        <v>44</v>
      </c>
      <c r="C24" t="s">
        <v>23</v>
      </c>
      <c r="D24" t="s">
        <v>55</v>
      </c>
      <c r="E24" t="s">
        <v>13</v>
      </c>
      <c r="F24">
        <v>4</v>
      </c>
      <c r="G24">
        <v>14301</v>
      </c>
      <c r="H24">
        <v>57204</v>
      </c>
      <c r="I24" t="s">
        <v>30</v>
      </c>
      <c r="J24">
        <v>5</v>
      </c>
    </row>
    <row r="25" spans="1:10" ht="14" hidden="1" x14ac:dyDescent="0.3">
      <c r="A25">
        <v>1041</v>
      </c>
      <c r="B25" t="s">
        <v>64</v>
      </c>
      <c r="C25" t="s">
        <v>11</v>
      </c>
      <c r="D25" t="s">
        <v>16</v>
      </c>
      <c r="E25" t="s">
        <v>13</v>
      </c>
      <c r="F25">
        <v>3</v>
      </c>
      <c r="G25">
        <v>2171</v>
      </c>
      <c r="H25">
        <v>6513</v>
      </c>
      <c r="I25" t="s">
        <v>14</v>
      </c>
      <c r="J25">
        <v>9</v>
      </c>
    </row>
    <row r="26" spans="1:10" ht="14" hidden="1" x14ac:dyDescent="0.3">
      <c r="A26">
        <v>1002</v>
      </c>
      <c r="B26" t="s">
        <v>15</v>
      </c>
      <c r="C26" t="s">
        <v>11</v>
      </c>
      <c r="D26" t="s">
        <v>16</v>
      </c>
      <c r="E26" t="s">
        <v>13</v>
      </c>
      <c r="F26">
        <v>2</v>
      </c>
      <c r="G26">
        <v>3644</v>
      </c>
      <c r="H26">
        <v>7288</v>
      </c>
      <c r="I26" t="s">
        <v>17</v>
      </c>
      <c r="J26">
        <v>2</v>
      </c>
    </row>
    <row r="27" spans="1:10" ht="14" hidden="1" x14ac:dyDescent="0.3">
      <c r="A27">
        <v>1074</v>
      </c>
      <c r="B27" t="s">
        <v>81</v>
      </c>
      <c r="C27" t="s">
        <v>26</v>
      </c>
      <c r="D27" t="s">
        <v>16</v>
      </c>
      <c r="E27" t="s">
        <v>13</v>
      </c>
      <c r="F27">
        <v>2</v>
      </c>
      <c r="G27">
        <v>3989</v>
      </c>
      <c r="H27">
        <v>7978</v>
      </c>
      <c r="I27" t="s">
        <v>14</v>
      </c>
      <c r="J27">
        <v>2</v>
      </c>
    </row>
    <row r="28" spans="1:10" ht="14" hidden="1" x14ac:dyDescent="0.3">
      <c r="A28">
        <v>1042</v>
      </c>
      <c r="B28" t="s">
        <v>58</v>
      </c>
      <c r="C28" t="s">
        <v>26</v>
      </c>
      <c r="D28" t="s">
        <v>28</v>
      </c>
      <c r="E28" t="s">
        <v>20</v>
      </c>
      <c r="F28">
        <v>2</v>
      </c>
      <c r="G28">
        <v>4061</v>
      </c>
      <c r="H28">
        <v>8122</v>
      </c>
      <c r="I28" t="s">
        <v>17</v>
      </c>
      <c r="J28">
        <v>7</v>
      </c>
    </row>
    <row r="29" spans="1:10" ht="14" hidden="1" x14ac:dyDescent="0.3">
      <c r="A29">
        <v>1098</v>
      </c>
      <c r="B29" t="s">
        <v>87</v>
      </c>
      <c r="C29" t="s">
        <v>32</v>
      </c>
      <c r="D29" t="s">
        <v>24</v>
      </c>
      <c r="E29" t="s">
        <v>13</v>
      </c>
      <c r="F29">
        <v>2</v>
      </c>
      <c r="G29">
        <v>13514</v>
      </c>
      <c r="H29">
        <v>27028</v>
      </c>
      <c r="I29" t="s">
        <v>14</v>
      </c>
      <c r="J29">
        <v>6</v>
      </c>
    </row>
    <row r="30" spans="1:10" ht="14" hidden="1" x14ac:dyDescent="0.3">
      <c r="A30">
        <v>1080</v>
      </c>
      <c r="B30" t="s">
        <v>67</v>
      </c>
      <c r="C30" t="s">
        <v>26</v>
      </c>
      <c r="D30" t="s">
        <v>19</v>
      </c>
      <c r="E30" t="s">
        <v>20</v>
      </c>
      <c r="F30">
        <v>2</v>
      </c>
      <c r="G30">
        <v>4332</v>
      </c>
      <c r="H30">
        <v>8664</v>
      </c>
      <c r="I30" t="s">
        <v>14</v>
      </c>
      <c r="J30">
        <v>6</v>
      </c>
    </row>
    <row r="31" spans="1:10" ht="14" x14ac:dyDescent="0.3">
      <c r="A31">
        <v>1086</v>
      </c>
      <c r="B31" t="s">
        <v>63</v>
      </c>
      <c r="C31" t="s">
        <v>32</v>
      </c>
      <c r="D31" t="s">
        <v>24</v>
      </c>
      <c r="E31" t="s">
        <v>13</v>
      </c>
      <c r="F31">
        <v>2</v>
      </c>
      <c r="G31">
        <v>13284</v>
      </c>
      <c r="H31">
        <v>26568</v>
      </c>
      <c r="I31" t="s">
        <v>21</v>
      </c>
      <c r="J31">
        <v>3</v>
      </c>
    </row>
    <row r="32" spans="1:10" ht="14" x14ac:dyDescent="0.3">
      <c r="A32">
        <v>1018</v>
      </c>
      <c r="B32" t="s">
        <v>42</v>
      </c>
      <c r="C32" t="s">
        <v>32</v>
      </c>
      <c r="D32" t="s">
        <v>24</v>
      </c>
      <c r="E32" t="s">
        <v>13</v>
      </c>
      <c r="F32">
        <v>2</v>
      </c>
      <c r="G32">
        <v>10665</v>
      </c>
      <c r="H32">
        <v>21330</v>
      </c>
      <c r="I32" t="s">
        <v>21</v>
      </c>
      <c r="J32">
        <v>8</v>
      </c>
    </row>
    <row r="33" spans="1:10" ht="14" hidden="1" x14ac:dyDescent="0.3">
      <c r="A33">
        <v>1040</v>
      </c>
      <c r="B33" t="s">
        <v>63</v>
      </c>
      <c r="C33" t="s">
        <v>26</v>
      </c>
      <c r="D33" t="s">
        <v>24</v>
      </c>
      <c r="E33" t="s">
        <v>13</v>
      </c>
      <c r="F33">
        <v>1</v>
      </c>
      <c r="G33">
        <v>11079</v>
      </c>
      <c r="H33">
        <v>11079</v>
      </c>
      <c r="I33" t="s">
        <v>30</v>
      </c>
      <c r="J33">
        <v>9</v>
      </c>
    </row>
    <row r="34" spans="1:10" ht="14" hidden="1" x14ac:dyDescent="0.3">
      <c r="A34">
        <v>1075</v>
      </c>
      <c r="B34" t="s">
        <v>82</v>
      </c>
      <c r="C34" t="s">
        <v>23</v>
      </c>
      <c r="D34" t="s">
        <v>55</v>
      </c>
      <c r="E34" t="s">
        <v>13</v>
      </c>
      <c r="F34">
        <v>3</v>
      </c>
      <c r="G34">
        <v>14327</v>
      </c>
      <c r="H34">
        <v>42981</v>
      </c>
      <c r="I34" t="s">
        <v>14</v>
      </c>
      <c r="J34">
        <v>5</v>
      </c>
    </row>
    <row r="35" spans="1:10" ht="14" hidden="1" x14ac:dyDescent="0.3">
      <c r="A35">
        <v>1044</v>
      </c>
      <c r="B35" t="s">
        <v>57</v>
      </c>
      <c r="C35" t="s">
        <v>32</v>
      </c>
      <c r="D35" t="s">
        <v>24</v>
      </c>
      <c r="E35" t="s">
        <v>13</v>
      </c>
      <c r="F35">
        <v>2</v>
      </c>
      <c r="G35">
        <v>10390</v>
      </c>
      <c r="H35">
        <v>20780</v>
      </c>
      <c r="I35" t="s">
        <v>30</v>
      </c>
      <c r="J35">
        <v>6</v>
      </c>
    </row>
    <row r="36" spans="1:10" ht="14" x14ac:dyDescent="0.3">
      <c r="A36">
        <v>1004</v>
      </c>
      <c r="B36" t="s">
        <v>22</v>
      </c>
      <c r="C36" t="s">
        <v>23</v>
      </c>
      <c r="D36" t="s">
        <v>24</v>
      </c>
      <c r="E36" t="s">
        <v>13</v>
      </c>
      <c r="F36">
        <v>4</v>
      </c>
      <c r="G36">
        <v>10603</v>
      </c>
      <c r="H36">
        <v>42412</v>
      </c>
      <c r="I36" t="s">
        <v>21</v>
      </c>
      <c r="J36">
        <v>6</v>
      </c>
    </row>
    <row r="37" spans="1:10" ht="14" x14ac:dyDescent="0.3">
      <c r="A37">
        <v>1066</v>
      </c>
      <c r="B37" t="s">
        <v>76</v>
      </c>
      <c r="C37" t="s">
        <v>26</v>
      </c>
      <c r="D37" t="s">
        <v>16</v>
      </c>
      <c r="E37" t="s">
        <v>13</v>
      </c>
      <c r="F37">
        <v>3</v>
      </c>
      <c r="G37">
        <v>3875</v>
      </c>
      <c r="H37">
        <v>11625</v>
      </c>
      <c r="I37" t="s">
        <v>21</v>
      </c>
      <c r="J37">
        <v>4</v>
      </c>
    </row>
    <row r="38" spans="1:10" ht="14" x14ac:dyDescent="0.3">
      <c r="A38">
        <v>1100</v>
      </c>
      <c r="B38" t="s">
        <v>89</v>
      </c>
      <c r="C38" t="s">
        <v>11</v>
      </c>
      <c r="D38" t="s">
        <v>24</v>
      </c>
      <c r="E38" t="s">
        <v>13</v>
      </c>
      <c r="F38">
        <v>1</v>
      </c>
      <c r="G38">
        <v>12073</v>
      </c>
      <c r="H38">
        <v>12073</v>
      </c>
      <c r="I38" t="s">
        <v>21</v>
      </c>
      <c r="J38">
        <v>4</v>
      </c>
    </row>
    <row r="39" spans="1:10" ht="14" hidden="1" x14ac:dyDescent="0.3">
      <c r="A39">
        <v>1069</v>
      </c>
      <c r="B39" t="s">
        <v>42</v>
      </c>
      <c r="C39" t="s">
        <v>32</v>
      </c>
      <c r="D39" t="s">
        <v>55</v>
      </c>
      <c r="E39" t="s">
        <v>13</v>
      </c>
      <c r="F39">
        <v>1</v>
      </c>
      <c r="G39">
        <v>16628</v>
      </c>
      <c r="H39">
        <v>16628</v>
      </c>
      <c r="I39" t="s">
        <v>17</v>
      </c>
      <c r="J39">
        <v>3</v>
      </c>
    </row>
    <row r="40" spans="1:10" ht="14" hidden="1" x14ac:dyDescent="0.3">
      <c r="A40">
        <v>1073</v>
      </c>
      <c r="B40" t="s">
        <v>46</v>
      </c>
      <c r="C40" t="s">
        <v>23</v>
      </c>
      <c r="D40" t="s">
        <v>38</v>
      </c>
      <c r="E40" t="s">
        <v>13</v>
      </c>
      <c r="F40">
        <v>2</v>
      </c>
      <c r="G40">
        <v>21107</v>
      </c>
      <c r="H40">
        <v>42214</v>
      </c>
      <c r="I40" t="s">
        <v>14</v>
      </c>
      <c r="J40">
        <v>7</v>
      </c>
    </row>
    <row r="41" spans="1:10" ht="14" hidden="1" x14ac:dyDescent="0.3">
      <c r="A41">
        <v>1037</v>
      </c>
      <c r="B41" t="s">
        <v>60</v>
      </c>
      <c r="C41" t="s">
        <v>26</v>
      </c>
      <c r="D41" t="s">
        <v>16</v>
      </c>
      <c r="E41" t="s">
        <v>13</v>
      </c>
      <c r="F41">
        <v>3</v>
      </c>
      <c r="G41">
        <v>4389</v>
      </c>
      <c r="H41">
        <v>13167</v>
      </c>
      <c r="I41" t="s">
        <v>17</v>
      </c>
      <c r="J41">
        <v>9</v>
      </c>
    </row>
    <row r="42" spans="1:10" ht="14" x14ac:dyDescent="0.3">
      <c r="A42">
        <v>1046</v>
      </c>
      <c r="B42" t="s">
        <v>67</v>
      </c>
      <c r="C42" t="s">
        <v>23</v>
      </c>
      <c r="D42" t="s">
        <v>38</v>
      </c>
      <c r="E42" t="s">
        <v>13</v>
      </c>
      <c r="F42">
        <v>2</v>
      </c>
      <c r="G42">
        <v>20941</v>
      </c>
      <c r="H42">
        <v>41882</v>
      </c>
      <c r="I42" t="s">
        <v>21</v>
      </c>
      <c r="J42">
        <v>6</v>
      </c>
    </row>
    <row r="43" spans="1:10" ht="14" x14ac:dyDescent="0.3">
      <c r="A43">
        <v>1090</v>
      </c>
      <c r="B43" t="s">
        <v>33</v>
      </c>
      <c r="C43" t="s">
        <v>32</v>
      </c>
      <c r="D43" t="s">
        <v>28</v>
      </c>
      <c r="E43" t="s">
        <v>20</v>
      </c>
      <c r="F43">
        <v>4</v>
      </c>
      <c r="G43">
        <v>3623</v>
      </c>
      <c r="H43">
        <v>14492</v>
      </c>
      <c r="I43" t="s">
        <v>21</v>
      </c>
      <c r="J43">
        <v>4</v>
      </c>
    </row>
    <row r="44" spans="1:10" ht="14" hidden="1" x14ac:dyDescent="0.3">
      <c r="A44">
        <v>1023</v>
      </c>
      <c r="B44" t="s">
        <v>47</v>
      </c>
      <c r="C44" t="s">
        <v>11</v>
      </c>
      <c r="D44" t="s">
        <v>28</v>
      </c>
      <c r="E44" t="s">
        <v>20</v>
      </c>
      <c r="F44">
        <v>4</v>
      </c>
      <c r="G44">
        <v>3516</v>
      </c>
      <c r="H44">
        <v>14064</v>
      </c>
      <c r="I44" t="s">
        <v>14</v>
      </c>
      <c r="J44">
        <v>7</v>
      </c>
    </row>
    <row r="45" spans="1:10" ht="14" hidden="1" x14ac:dyDescent="0.3">
      <c r="A45">
        <v>1039</v>
      </c>
      <c r="B45" t="s">
        <v>62</v>
      </c>
      <c r="C45" t="s">
        <v>11</v>
      </c>
      <c r="D45" t="s">
        <v>55</v>
      </c>
      <c r="E45" t="s">
        <v>13</v>
      </c>
      <c r="F45">
        <v>1</v>
      </c>
      <c r="G45">
        <v>14202</v>
      </c>
      <c r="H45">
        <v>14202</v>
      </c>
      <c r="I45" t="s">
        <v>17</v>
      </c>
      <c r="J45">
        <v>7</v>
      </c>
    </row>
    <row r="46" spans="1:10" ht="14" x14ac:dyDescent="0.3">
      <c r="A46">
        <v>1008</v>
      </c>
      <c r="B46" t="s">
        <v>31</v>
      </c>
      <c r="C46" t="s">
        <v>32</v>
      </c>
      <c r="D46" t="s">
        <v>16</v>
      </c>
      <c r="E46" t="s">
        <v>13</v>
      </c>
      <c r="F46">
        <v>3</v>
      </c>
      <c r="G46">
        <v>4661</v>
      </c>
      <c r="H46">
        <v>13983</v>
      </c>
      <c r="I46" t="s">
        <v>21</v>
      </c>
      <c r="J46">
        <v>10</v>
      </c>
    </row>
    <row r="47" spans="1:10" ht="14" hidden="1" x14ac:dyDescent="0.3">
      <c r="A47">
        <v>1031</v>
      </c>
      <c r="B47" t="s">
        <v>54</v>
      </c>
      <c r="C47" t="s">
        <v>23</v>
      </c>
      <c r="D47" t="s">
        <v>55</v>
      </c>
      <c r="E47" t="s">
        <v>13</v>
      </c>
      <c r="F47">
        <v>2</v>
      </c>
      <c r="G47">
        <v>16308</v>
      </c>
      <c r="H47">
        <v>32616</v>
      </c>
      <c r="I47" t="s">
        <v>17</v>
      </c>
      <c r="J47">
        <v>5</v>
      </c>
    </row>
    <row r="48" spans="1:10" ht="14" hidden="1" x14ac:dyDescent="0.3">
      <c r="A48">
        <v>1060</v>
      </c>
      <c r="B48" t="s">
        <v>74</v>
      </c>
      <c r="C48" t="s">
        <v>23</v>
      </c>
      <c r="D48" t="s">
        <v>24</v>
      </c>
      <c r="E48" t="s">
        <v>13</v>
      </c>
      <c r="F48">
        <v>3</v>
      </c>
      <c r="G48">
        <v>10553</v>
      </c>
      <c r="H48">
        <v>31659</v>
      </c>
      <c r="I48" t="s">
        <v>17</v>
      </c>
      <c r="J48">
        <v>10</v>
      </c>
    </row>
    <row r="49" spans="1:10" ht="14" hidden="1" x14ac:dyDescent="0.3">
      <c r="A49">
        <v>1095</v>
      </c>
      <c r="B49" t="s">
        <v>57</v>
      </c>
      <c r="C49" t="s">
        <v>26</v>
      </c>
      <c r="D49" t="s">
        <v>55</v>
      </c>
      <c r="E49" t="s">
        <v>13</v>
      </c>
      <c r="F49">
        <v>1</v>
      </c>
      <c r="G49">
        <v>15709</v>
      </c>
      <c r="H49">
        <v>15709</v>
      </c>
      <c r="I49" t="s">
        <v>17</v>
      </c>
      <c r="J49">
        <v>9</v>
      </c>
    </row>
    <row r="50" spans="1:10" ht="14" hidden="1" x14ac:dyDescent="0.3">
      <c r="A50">
        <v>1056</v>
      </c>
      <c r="B50" t="s">
        <v>71</v>
      </c>
      <c r="C50" t="s">
        <v>32</v>
      </c>
      <c r="D50" t="s">
        <v>28</v>
      </c>
      <c r="E50" t="s">
        <v>20</v>
      </c>
      <c r="F50">
        <v>4</v>
      </c>
      <c r="G50">
        <v>3185</v>
      </c>
      <c r="H50">
        <v>12740</v>
      </c>
      <c r="I50" t="s">
        <v>17</v>
      </c>
      <c r="J50">
        <v>4</v>
      </c>
    </row>
    <row r="51" spans="1:10" ht="14" hidden="1" x14ac:dyDescent="0.3">
      <c r="A51">
        <v>1020</v>
      </c>
      <c r="B51" t="s">
        <v>44</v>
      </c>
      <c r="C51" t="s">
        <v>23</v>
      </c>
      <c r="D51" t="s">
        <v>38</v>
      </c>
      <c r="E51" t="s">
        <v>13</v>
      </c>
      <c r="F51">
        <v>1</v>
      </c>
      <c r="G51">
        <v>21857</v>
      </c>
      <c r="H51">
        <v>21857</v>
      </c>
      <c r="I51" t="s">
        <v>17</v>
      </c>
      <c r="J51">
        <v>2</v>
      </c>
    </row>
    <row r="52" spans="1:10" ht="14" hidden="1" x14ac:dyDescent="0.3">
      <c r="A52">
        <v>1091</v>
      </c>
      <c r="B52" t="s">
        <v>85</v>
      </c>
      <c r="C52" t="s">
        <v>23</v>
      </c>
      <c r="D52" t="s">
        <v>24</v>
      </c>
      <c r="E52" t="s">
        <v>13</v>
      </c>
      <c r="F52">
        <v>2</v>
      </c>
      <c r="G52">
        <v>10194</v>
      </c>
      <c r="H52">
        <v>20388</v>
      </c>
      <c r="I52" t="s">
        <v>14</v>
      </c>
      <c r="J52">
        <v>8</v>
      </c>
    </row>
    <row r="53" spans="1:10" ht="14" x14ac:dyDescent="0.3">
      <c r="A53">
        <v>1076</v>
      </c>
      <c r="B53" t="s">
        <v>46</v>
      </c>
      <c r="C53" t="s">
        <v>32</v>
      </c>
      <c r="D53" t="s">
        <v>19</v>
      </c>
      <c r="E53" t="s">
        <v>20</v>
      </c>
      <c r="F53">
        <v>3</v>
      </c>
      <c r="G53">
        <v>3732</v>
      </c>
      <c r="H53">
        <v>11196</v>
      </c>
      <c r="I53" t="s">
        <v>21</v>
      </c>
      <c r="J53">
        <v>6</v>
      </c>
    </row>
    <row r="54" spans="1:10" ht="14" hidden="1" x14ac:dyDescent="0.3">
      <c r="A54">
        <v>1058</v>
      </c>
      <c r="B54" t="s">
        <v>72</v>
      </c>
      <c r="C54" t="s">
        <v>32</v>
      </c>
      <c r="D54" t="s">
        <v>28</v>
      </c>
      <c r="E54" t="s">
        <v>20</v>
      </c>
      <c r="F54">
        <v>2</v>
      </c>
      <c r="G54">
        <v>5506</v>
      </c>
      <c r="H54">
        <v>11012</v>
      </c>
      <c r="I54" t="s">
        <v>14</v>
      </c>
      <c r="J54">
        <v>3</v>
      </c>
    </row>
    <row r="55" spans="1:10" ht="14" hidden="1" x14ac:dyDescent="0.3">
      <c r="A55">
        <v>1099</v>
      </c>
      <c r="B55" t="s">
        <v>88</v>
      </c>
      <c r="C55" t="s">
        <v>23</v>
      </c>
      <c r="D55" t="s">
        <v>16</v>
      </c>
      <c r="E55" t="s">
        <v>13</v>
      </c>
      <c r="F55">
        <v>4</v>
      </c>
      <c r="G55">
        <v>4356</v>
      </c>
      <c r="H55">
        <v>17424</v>
      </c>
      <c r="I55" t="s">
        <v>14</v>
      </c>
      <c r="J55">
        <v>3</v>
      </c>
    </row>
    <row r="56" spans="1:10" ht="14" x14ac:dyDescent="0.3">
      <c r="A56">
        <v>1006</v>
      </c>
      <c r="B56" t="s">
        <v>27</v>
      </c>
      <c r="C56" t="s">
        <v>26</v>
      </c>
      <c r="D56" t="s">
        <v>28</v>
      </c>
      <c r="E56" t="s">
        <v>20</v>
      </c>
      <c r="F56">
        <v>4</v>
      </c>
      <c r="G56">
        <v>5992</v>
      </c>
      <c r="H56">
        <v>23968</v>
      </c>
      <c r="I56" t="s">
        <v>21</v>
      </c>
      <c r="J56">
        <v>4</v>
      </c>
    </row>
    <row r="57" spans="1:10" ht="14" hidden="1" x14ac:dyDescent="0.3">
      <c r="A57">
        <v>1005</v>
      </c>
      <c r="B57" t="s">
        <v>25</v>
      </c>
      <c r="C57" t="s">
        <v>26</v>
      </c>
      <c r="D57" t="s">
        <v>24</v>
      </c>
      <c r="E57" t="s">
        <v>13</v>
      </c>
      <c r="F57">
        <v>2</v>
      </c>
      <c r="G57">
        <v>12621</v>
      </c>
      <c r="H57">
        <v>25242</v>
      </c>
      <c r="I57" t="s">
        <v>17</v>
      </c>
      <c r="J57">
        <v>7</v>
      </c>
    </row>
    <row r="58" spans="1:10" ht="14" hidden="1" x14ac:dyDescent="0.3">
      <c r="A58">
        <v>1032</v>
      </c>
      <c r="B58" t="s">
        <v>56</v>
      </c>
      <c r="C58" t="s">
        <v>26</v>
      </c>
      <c r="D58" t="s">
        <v>24</v>
      </c>
      <c r="E58" t="s">
        <v>13</v>
      </c>
      <c r="F58">
        <v>2</v>
      </c>
      <c r="G58">
        <v>13081</v>
      </c>
      <c r="H58">
        <v>26162</v>
      </c>
      <c r="I58" t="s">
        <v>30</v>
      </c>
      <c r="J58">
        <v>2</v>
      </c>
    </row>
    <row r="59" spans="1:10" ht="14" hidden="1" x14ac:dyDescent="0.3">
      <c r="A59">
        <v>1038</v>
      </c>
      <c r="B59" t="s">
        <v>61</v>
      </c>
      <c r="C59" t="s">
        <v>11</v>
      </c>
      <c r="D59" t="s">
        <v>55</v>
      </c>
      <c r="E59" t="s">
        <v>13</v>
      </c>
      <c r="F59">
        <v>2</v>
      </c>
      <c r="G59">
        <v>13253</v>
      </c>
      <c r="H59">
        <v>26506</v>
      </c>
      <c r="I59" t="s">
        <v>17</v>
      </c>
      <c r="J59">
        <v>3</v>
      </c>
    </row>
    <row r="60" spans="1:10" ht="14" x14ac:dyDescent="0.3">
      <c r="A60">
        <v>1064</v>
      </c>
      <c r="B60" t="s">
        <v>68</v>
      </c>
      <c r="C60" t="s">
        <v>32</v>
      </c>
      <c r="D60" t="s">
        <v>19</v>
      </c>
      <c r="E60" t="s">
        <v>20</v>
      </c>
      <c r="F60">
        <v>2</v>
      </c>
      <c r="G60">
        <v>4355</v>
      </c>
      <c r="H60">
        <v>8710</v>
      </c>
      <c r="I60" t="s">
        <v>21</v>
      </c>
      <c r="J60">
        <v>8</v>
      </c>
    </row>
    <row r="61" spans="1:10" ht="14" hidden="1" x14ac:dyDescent="0.3">
      <c r="A61">
        <v>1049</v>
      </c>
      <c r="B61" t="s">
        <v>51</v>
      </c>
      <c r="C61" t="s">
        <v>32</v>
      </c>
      <c r="D61" t="s">
        <v>16</v>
      </c>
      <c r="E61" t="s">
        <v>13</v>
      </c>
      <c r="F61">
        <v>2</v>
      </c>
      <c r="G61">
        <v>4285</v>
      </c>
      <c r="H61">
        <v>8570</v>
      </c>
      <c r="I61" t="s">
        <v>14</v>
      </c>
      <c r="J61">
        <v>6</v>
      </c>
    </row>
    <row r="62" spans="1:10" ht="14" x14ac:dyDescent="0.3">
      <c r="A62">
        <v>1057</v>
      </c>
      <c r="B62" t="s">
        <v>44</v>
      </c>
      <c r="C62" t="s">
        <v>26</v>
      </c>
      <c r="D62" t="s">
        <v>28</v>
      </c>
      <c r="E62" t="s">
        <v>20</v>
      </c>
      <c r="F62">
        <v>4</v>
      </c>
      <c r="G62">
        <v>6773</v>
      </c>
      <c r="H62">
        <v>27092</v>
      </c>
      <c r="I62" t="s">
        <v>21</v>
      </c>
      <c r="J62">
        <v>9</v>
      </c>
    </row>
    <row r="63" spans="1:10" ht="14" hidden="1" x14ac:dyDescent="0.3">
      <c r="A63">
        <v>1047</v>
      </c>
      <c r="B63" t="s">
        <v>45</v>
      </c>
      <c r="C63" t="s">
        <v>11</v>
      </c>
      <c r="D63" t="s">
        <v>24</v>
      </c>
      <c r="E63" t="s">
        <v>13</v>
      </c>
      <c r="F63">
        <v>2</v>
      </c>
      <c r="G63">
        <v>13552</v>
      </c>
      <c r="H63">
        <v>27104</v>
      </c>
      <c r="I63" t="s">
        <v>17</v>
      </c>
      <c r="J63">
        <v>3</v>
      </c>
    </row>
    <row r="64" spans="1:10" ht="14" hidden="1" x14ac:dyDescent="0.3">
      <c r="A64">
        <v>1054</v>
      </c>
      <c r="B64" t="s">
        <v>70</v>
      </c>
      <c r="C64" t="s">
        <v>32</v>
      </c>
      <c r="D64" t="s">
        <v>16</v>
      </c>
      <c r="E64" t="s">
        <v>13</v>
      </c>
      <c r="F64">
        <v>2</v>
      </c>
      <c r="G64">
        <v>2824</v>
      </c>
      <c r="H64">
        <v>5648</v>
      </c>
      <c r="I64" t="s">
        <v>14</v>
      </c>
      <c r="J64">
        <v>5</v>
      </c>
    </row>
    <row r="65" spans="1:10" ht="14" x14ac:dyDescent="0.3">
      <c r="A65">
        <v>1036</v>
      </c>
      <c r="B65" t="s">
        <v>59</v>
      </c>
      <c r="C65" t="s">
        <v>23</v>
      </c>
      <c r="D65" t="s">
        <v>55</v>
      </c>
      <c r="E65" t="s">
        <v>13</v>
      </c>
      <c r="F65">
        <v>1</v>
      </c>
      <c r="G65">
        <v>15168</v>
      </c>
      <c r="H65">
        <v>15168</v>
      </c>
      <c r="I65" t="s">
        <v>21</v>
      </c>
      <c r="J65">
        <v>10</v>
      </c>
    </row>
    <row r="66" spans="1:10" ht="14" hidden="1" x14ac:dyDescent="0.3">
      <c r="A66">
        <v>1050</v>
      </c>
      <c r="B66" t="s">
        <v>44</v>
      </c>
      <c r="C66" t="s">
        <v>26</v>
      </c>
      <c r="D66" t="s">
        <v>55</v>
      </c>
      <c r="E66" t="s">
        <v>13</v>
      </c>
      <c r="F66">
        <v>2</v>
      </c>
      <c r="G66">
        <v>16049</v>
      </c>
      <c r="H66">
        <v>32098</v>
      </c>
      <c r="I66" t="s">
        <v>14</v>
      </c>
      <c r="J66">
        <v>9</v>
      </c>
    </row>
    <row r="67" spans="1:10" ht="14" hidden="1" x14ac:dyDescent="0.3">
      <c r="A67">
        <v>1028</v>
      </c>
      <c r="B67" t="s">
        <v>52</v>
      </c>
      <c r="C67" t="s">
        <v>23</v>
      </c>
      <c r="D67" t="s">
        <v>19</v>
      </c>
      <c r="E67" t="s">
        <v>20</v>
      </c>
      <c r="F67">
        <v>4</v>
      </c>
      <c r="G67">
        <v>3728</v>
      </c>
      <c r="H67">
        <v>14912</v>
      </c>
      <c r="I67" t="s">
        <v>14</v>
      </c>
      <c r="J67">
        <v>10</v>
      </c>
    </row>
    <row r="68" spans="1:10" ht="14" x14ac:dyDescent="0.3">
      <c r="A68">
        <v>1061</v>
      </c>
      <c r="B68" t="s">
        <v>66</v>
      </c>
      <c r="C68" t="s">
        <v>26</v>
      </c>
      <c r="D68" t="s">
        <v>24</v>
      </c>
      <c r="E68" t="s">
        <v>13</v>
      </c>
      <c r="F68">
        <v>3</v>
      </c>
      <c r="G68">
        <v>12052</v>
      </c>
      <c r="H68">
        <v>36156</v>
      </c>
      <c r="I68" t="s">
        <v>21</v>
      </c>
      <c r="J68">
        <v>8</v>
      </c>
    </row>
    <row r="69" spans="1:10" ht="14" hidden="1" x14ac:dyDescent="0.3">
      <c r="A69">
        <v>1015</v>
      </c>
      <c r="B69" t="s">
        <v>40</v>
      </c>
      <c r="C69" t="s">
        <v>26</v>
      </c>
      <c r="D69" t="s">
        <v>38</v>
      </c>
      <c r="E69" t="s">
        <v>13</v>
      </c>
      <c r="F69">
        <v>2</v>
      </c>
      <c r="G69">
        <v>18193</v>
      </c>
      <c r="H69">
        <v>36386</v>
      </c>
      <c r="I69" t="s">
        <v>17</v>
      </c>
      <c r="J69">
        <v>8</v>
      </c>
    </row>
    <row r="70" spans="1:10" ht="14" hidden="1" x14ac:dyDescent="0.3">
      <c r="A70">
        <v>1030</v>
      </c>
      <c r="B70" t="s">
        <v>31</v>
      </c>
      <c r="C70" t="s">
        <v>11</v>
      </c>
      <c r="D70" t="s">
        <v>24</v>
      </c>
      <c r="E70" t="s">
        <v>13</v>
      </c>
      <c r="F70">
        <v>3</v>
      </c>
      <c r="G70">
        <v>13358</v>
      </c>
      <c r="H70">
        <v>40074</v>
      </c>
      <c r="I70" t="s">
        <v>30</v>
      </c>
      <c r="J70">
        <v>8</v>
      </c>
    </row>
    <row r="71" spans="1:10" ht="14" hidden="1" x14ac:dyDescent="0.3">
      <c r="A71">
        <v>1045</v>
      </c>
      <c r="B71" t="s">
        <v>66</v>
      </c>
      <c r="C71" t="s">
        <v>26</v>
      </c>
      <c r="D71" t="s">
        <v>38</v>
      </c>
      <c r="E71" t="s">
        <v>13</v>
      </c>
      <c r="F71">
        <v>2</v>
      </c>
      <c r="G71">
        <v>20247</v>
      </c>
      <c r="H71">
        <v>40494</v>
      </c>
      <c r="I71" t="s">
        <v>17</v>
      </c>
      <c r="J71">
        <v>9</v>
      </c>
    </row>
    <row r="72" spans="1:10" ht="14" hidden="1" x14ac:dyDescent="0.3">
      <c r="A72">
        <v>1088</v>
      </c>
      <c r="B72" t="s">
        <v>57</v>
      </c>
      <c r="C72" t="s">
        <v>23</v>
      </c>
      <c r="D72" t="s">
        <v>19</v>
      </c>
      <c r="E72" t="s">
        <v>20</v>
      </c>
      <c r="F72">
        <v>3</v>
      </c>
      <c r="G72">
        <v>4643</v>
      </c>
      <c r="H72">
        <v>13929</v>
      </c>
      <c r="I72" t="s">
        <v>14</v>
      </c>
      <c r="J72">
        <v>4</v>
      </c>
    </row>
    <row r="73" spans="1:10" ht="14" hidden="1" x14ac:dyDescent="0.3">
      <c r="A73">
        <v>1083</v>
      </c>
      <c r="B73" t="s">
        <v>83</v>
      </c>
      <c r="C73" t="s">
        <v>11</v>
      </c>
      <c r="D73" t="s">
        <v>55</v>
      </c>
      <c r="E73" t="s">
        <v>13</v>
      </c>
      <c r="F73">
        <v>3</v>
      </c>
      <c r="G73">
        <v>14022</v>
      </c>
      <c r="H73">
        <v>42066</v>
      </c>
      <c r="I73" t="s">
        <v>30</v>
      </c>
      <c r="J73">
        <v>10</v>
      </c>
    </row>
    <row r="74" spans="1:10" ht="14" hidden="1" x14ac:dyDescent="0.3">
      <c r="A74">
        <v>1017</v>
      </c>
      <c r="B74" t="s">
        <v>15</v>
      </c>
      <c r="C74" t="s">
        <v>23</v>
      </c>
      <c r="D74" t="s">
        <v>24</v>
      </c>
      <c r="E74" t="s">
        <v>13</v>
      </c>
      <c r="F74">
        <v>1</v>
      </c>
      <c r="G74">
        <v>13096</v>
      </c>
      <c r="H74">
        <v>13096</v>
      </c>
      <c r="I74" t="s">
        <v>14</v>
      </c>
      <c r="J74">
        <v>3</v>
      </c>
    </row>
    <row r="75" spans="1:10" ht="14" hidden="1" x14ac:dyDescent="0.3">
      <c r="A75">
        <v>1081</v>
      </c>
      <c r="B75" t="s">
        <v>47</v>
      </c>
      <c r="C75" t="s">
        <v>23</v>
      </c>
      <c r="D75" t="s">
        <v>28</v>
      </c>
      <c r="E75" t="s">
        <v>20</v>
      </c>
      <c r="F75">
        <v>2</v>
      </c>
      <c r="G75">
        <v>5670</v>
      </c>
      <c r="H75">
        <v>11340</v>
      </c>
      <c r="I75" t="s">
        <v>30</v>
      </c>
      <c r="J75">
        <v>3</v>
      </c>
    </row>
    <row r="76" spans="1:10" ht="14" hidden="1" x14ac:dyDescent="0.3">
      <c r="A76">
        <v>1051</v>
      </c>
      <c r="B76" t="s">
        <v>68</v>
      </c>
      <c r="C76" t="s">
        <v>23</v>
      </c>
      <c r="D76" t="s">
        <v>28</v>
      </c>
      <c r="E76" t="s">
        <v>20</v>
      </c>
      <c r="F76">
        <v>2</v>
      </c>
      <c r="G76">
        <v>5591</v>
      </c>
      <c r="H76">
        <v>11182</v>
      </c>
      <c r="I76" t="s">
        <v>14</v>
      </c>
      <c r="J76">
        <v>8</v>
      </c>
    </row>
    <row r="77" spans="1:10" ht="14" hidden="1" x14ac:dyDescent="0.3">
      <c r="A77">
        <v>1052</v>
      </c>
      <c r="B77" t="s">
        <v>64</v>
      </c>
      <c r="C77" t="s">
        <v>32</v>
      </c>
      <c r="D77" t="s">
        <v>36</v>
      </c>
      <c r="E77" t="s">
        <v>13</v>
      </c>
      <c r="F77">
        <v>2</v>
      </c>
      <c r="G77">
        <v>2341</v>
      </c>
      <c r="H77">
        <v>4682</v>
      </c>
      <c r="I77" t="s">
        <v>17</v>
      </c>
      <c r="J77">
        <v>7</v>
      </c>
    </row>
    <row r="78" spans="1:10" ht="14" hidden="1" x14ac:dyDescent="0.3">
      <c r="A78">
        <v>1096</v>
      </c>
      <c r="B78" t="s">
        <v>86</v>
      </c>
      <c r="C78" t="s">
        <v>11</v>
      </c>
      <c r="D78" t="s">
        <v>55</v>
      </c>
      <c r="E78" t="s">
        <v>13</v>
      </c>
      <c r="F78">
        <v>3</v>
      </c>
      <c r="G78">
        <v>15556</v>
      </c>
      <c r="H78">
        <v>46668</v>
      </c>
      <c r="I78" t="s">
        <v>17</v>
      </c>
      <c r="J78">
        <v>6</v>
      </c>
    </row>
    <row r="79" spans="1:10" ht="14" hidden="1" x14ac:dyDescent="0.3">
      <c r="A79">
        <v>1068</v>
      </c>
      <c r="B79" t="s">
        <v>78</v>
      </c>
      <c r="C79" t="s">
        <v>26</v>
      </c>
      <c r="D79" t="s">
        <v>24</v>
      </c>
      <c r="E79" t="s">
        <v>13</v>
      </c>
      <c r="F79">
        <v>4</v>
      </c>
      <c r="G79">
        <v>12466</v>
      </c>
      <c r="H79">
        <v>49864</v>
      </c>
      <c r="I79" t="s">
        <v>14</v>
      </c>
      <c r="J79">
        <v>10</v>
      </c>
    </row>
    <row r="80" spans="1:10" ht="14" x14ac:dyDescent="0.3">
      <c r="A80">
        <v>1013</v>
      </c>
      <c r="B80" t="s">
        <v>37</v>
      </c>
      <c r="C80" t="s">
        <v>26</v>
      </c>
      <c r="D80" t="s">
        <v>38</v>
      </c>
      <c r="E80" t="s">
        <v>13</v>
      </c>
      <c r="F80">
        <v>3</v>
      </c>
      <c r="G80">
        <v>18156</v>
      </c>
      <c r="H80">
        <v>54468</v>
      </c>
      <c r="I80" t="s">
        <v>21</v>
      </c>
      <c r="J80">
        <v>10</v>
      </c>
    </row>
    <row r="81" spans="1:10" ht="14" hidden="1" x14ac:dyDescent="0.3">
      <c r="A81">
        <v>1009</v>
      </c>
      <c r="B81" t="s">
        <v>33</v>
      </c>
      <c r="C81" t="s">
        <v>23</v>
      </c>
      <c r="D81" t="s">
        <v>28</v>
      </c>
      <c r="E81" t="s">
        <v>20</v>
      </c>
      <c r="F81">
        <v>2</v>
      </c>
      <c r="G81">
        <v>3189</v>
      </c>
      <c r="H81">
        <v>6378</v>
      </c>
      <c r="I81" t="s">
        <v>14</v>
      </c>
      <c r="J81">
        <v>7</v>
      </c>
    </row>
    <row r="82" spans="1:10" ht="14" hidden="1" x14ac:dyDescent="0.3">
      <c r="A82">
        <v>1094</v>
      </c>
      <c r="B82" t="s">
        <v>82</v>
      </c>
      <c r="C82" t="s">
        <v>26</v>
      </c>
      <c r="D82" t="s">
        <v>12</v>
      </c>
      <c r="E82" t="s">
        <v>13</v>
      </c>
      <c r="F82">
        <v>1</v>
      </c>
      <c r="G82">
        <v>59221</v>
      </c>
      <c r="H82">
        <v>59221</v>
      </c>
      <c r="I82" t="s">
        <v>17</v>
      </c>
      <c r="J82">
        <v>2</v>
      </c>
    </row>
    <row r="83" spans="1:10" ht="14" hidden="1" x14ac:dyDescent="0.3">
      <c r="A83">
        <v>1024</v>
      </c>
      <c r="B83" t="s">
        <v>48</v>
      </c>
      <c r="C83" t="s">
        <v>32</v>
      </c>
      <c r="D83" t="s">
        <v>36</v>
      </c>
      <c r="E83" t="s">
        <v>13</v>
      </c>
      <c r="F83">
        <v>4</v>
      </c>
      <c r="G83">
        <v>1003</v>
      </c>
      <c r="H83">
        <v>4012</v>
      </c>
      <c r="I83" t="s">
        <v>30</v>
      </c>
      <c r="J83">
        <v>10</v>
      </c>
    </row>
    <row r="84" spans="1:10" ht="14" hidden="1" x14ac:dyDescent="0.3">
      <c r="A84">
        <v>1034</v>
      </c>
      <c r="B84" t="s">
        <v>58</v>
      </c>
      <c r="C84" t="s">
        <v>11</v>
      </c>
      <c r="D84" t="s">
        <v>55</v>
      </c>
      <c r="E84" t="s">
        <v>13</v>
      </c>
      <c r="F84">
        <v>4</v>
      </c>
      <c r="G84">
        <v>15250</v>
      </c>
      <c r="H84">
        <v>61000</v>
      </c>
      <c r="I84" t="s">
        <v>30</v>
      </c>
      <c r="J84">
        <v>2</v>
      </c>
    </row>
    <row r="85" spans="1:10" ht="14" x14ac:dyDescent="0.3">
      <c r="A85">
        <v>1065</v>
      </c>
      <c r="B85" t="s">
        <v>75</v>
      </c>
      <c r="C85" t="s">
        <v>32</v>
      </c>
      <c r="D85" t="s">
        <v>16</v>
      </c>
      <c r="E85" t="s">
        <v>13</v>
      </c>
      <c r="F85">
        <v>2</v>
      </c>
      <c r="G85">
        <v>1720</v>
      </c>
      <c r="H85">
        <v>3440</v>
      </c>
      <c r="I85" t="s">
        <v>21</v>
      </c>
      <c r="J85">
        <v>2</v>
      </c>
    </row>
    <row r="86" spans="1:10" ht="14" hidden="1" x14ac:dyDescent="0.3">
      <c r="A86">
        <v>1021</v>
      </c>
      <c r="B86" t="s">
        <v>45</v>
      </c>
      <c r="C86" t="s">
        <v>23</v>
      </c>
      <c r="D86" t="s">
        <v>28</v>
      </c>
      <c r="E86" t="s">
        <v>20</v>
      </c>
      <c r="F86">
        <v>1</v>
      </c>
      <c r="G86">
        <v>4579</v>
      </c>
      <c r="H86">
        <v>4579</v>
      </c>
      <c r="I86" t="s">
        <v>14</v>
      </c>
      <c r="J86">
        <v>8</v>
      </c>
    </row>
    <row r="87" spans="1:10" ht="14" hidden="1" x14ac:dyDescent="0.3">
      <c r="A87">
        <v>1011</v>
      </c>
      <c r="B87" t="s">
        <v>35</v>
      </c>
      <c r="C87" t="s">
        <v>32</v>
      </c>
      <c r="D87" t="s">
        <v>19</v>
      </c>
      <c r="E87" t="s">
        <v>20</v>
      </c>
      <c r="F87">
        <v>1</v>
      </c>
      <c r="G87">
        <v>3197</v>
      </c>
      <c r="H87">
        <v>3197</v>
      </c>
      <c r="I87" t="s">
        <v>14</v>
      </c>
      <c r="J87">
        <v>2</v>
      </c>
    </row>
    <row r="88" spans="1:10" ht="14" hidden="1" x14ac:dyDescent="0.3">
      <c r="A88">
        <v>1027</v>
      </c>
      <c r="B88" t="s">
        <v>51</v>
      </c>
      <c r="C88" t="s">
        <v>23</v>
      </c>
      <c r="D88" t="s">
        <v>16</v>
      </c>
      <c r="E88" t="s">
        <v>13</v>
      </c>
      <c r="F88">
        <v>1</v>
      </c>
      <c r="G88">
        <v>4059</v>
      </c>
      <c r="H88">
        <v>4059</v>
      </c>
      <c r="I88" t="s">
        <v>14</v>
      </c>
      <c r="J88">
        <v>10</v>
      </c>
    </row>
    <row r="89" spans="1:10" ht="14" hidden="1" x14ac:dyDescent="0.3">
      <c r="A89">
        <v>1097</v>
      </c>
      <c r="B89" t="s">
        <v>81</v>
      </c>
      <c r="C89" t="s">
        <v>26</v>
      </c>
      <c r="D89" t="s">
        <v>12</v>
      </c>
      <c r="E89" t="s">
        <v>13</v>
      </c>
      <c r="F89">
        <v>2</v>
      </c>
      <c r="G89">
        <v>58070</v>
      </c>
      <c r="H89">
        <v>116140</v>
      </c>
      <c r="I89" t="s">
        <v>30</v>
      </c>
      <c r="J89">
        <v>9</v>
      </c>
    </row>
    <row r="90" spans="1:10" ht="14" hidden="1" x14ac:dyDescent="0.3">
      <c r="A90">
        <v>1078</v>
      </c>
      <c r="B90" t="s">
        <v>39</v>
      </c>
      <c r="C90" t="s">
        <v>23</v>
      </c>
      <c r="D90" t="s">
        <v>36</v>
      </c>
      <c r="E90" t="s">
        <v>13</v>
      </c>
      <c r="F90">
        <v>2</v>
      </c>
      <c r="G90">
        <v>1581</v>
      </c>
      <c r="H90">
        <v>3162</v>
      </c>
      <c r="I90" t="s">
        <v>30</v>
      </c>
      <c r="J90">
        <v>2</v>
      </c>
    </row>
    <row r="91" spans="1:10" ht="14" hidden="1" x14ac:dyDescent="0.3">
      <c r="A91">
        <v>1025</v>
      </c>
      <c r="B91" t="s">
        <v>49</v>
      </c>
      <c r="C91" t="s">
        <v>23</v>
      </c>
      <c r="D91" t="s">
        <v>36</v>
      </c>
      <c r="E91" t="s">
        <v>13</v>
      </c>
      <c r="F91">
        <v>2</v>
      </c>
      <c r="G91">
        <v>1225</v>
      </c>
      <c r="H91">
        <v>2450</v>
      </c>
      <c r="I91" t="s">
        <v>14</v>
      </c>
      <c r="J91">
        <v>10</v>
      </c>
    </row>
    <row r="92" spans="1:10" ht="14" x14ac:dyDescent="0.3">
      <c r="A92">
        <v>1063</v>
      </c>
      <c r="B92" t="s">
        <v>64</v>
      </c>
      <c r="C92" t="s">
        <v>32</v>
      </c>
      <c r="D92" t="s">
        <v>36</v>
      </c>
      <c r="E92" t="s">
        <v>13</v>
      </c>
      <c r="F92">
        <v>2</v>
      </c>
      <c r="G92">
        <v>1189</v>
      </c>
      <c r="H92">
        <v>2378</v>
      </c>
      <c r="I92" t="s">
        <v>21</v>
      </c>
      <c r="J92">
        <v>9</v>
      </c>
    </row>
    <row r="93" spans="1:10" ht="14" hidden="1" x14ac:dyDescent="0.3">
      <c r="A93">
        <v>1022</v>
      </c>
      <c r="B93" t="s">
        <v>46</v>
      </c>
      <c r="C93" t="s">
        <v>32</v>
      </c>
      <c r="D93" t="s">
        <v>19</v>
      </c>
      <c r="E93" t="s">
        <v>20</v>
      </c>
      <c r="F93">
        <v>2</v>
      </c>
      <c r="G93">
        <v>1171</v>
      </c>
      <c r="H93">
        <v>2342</v>
      </c>
      <c r="I93" t="s">
        <v>17</v>
      </c>
      <c r="J93">
        <v>5</v>
      </c>
    </row>
    <row r="94" spans="1:10" ht="14" hidden="1" x14ac:dyDescent="0.3">
      <c r="A94">
        <v>1007</v>
      </c>
      <c r="B94" t="s">
        <v>29</v>
      </c>
      <c r="C94" t="s">
        <v>11</v>
      </c>
      <c r="D94" t="s">
        <v>12</v>
      </c>
      <c r="E94" t="s">
        <v>13</v>
      </c>
      <c r="F94">
        <v>3</v>
      </c>
      <c r="G94">
        <v>59013</v>
      </c>
      <c r="H94">
        <v>177039</v>
      </c>
      <c r="I94" t="s">
        <v>30</v>
      </c>
      <c r="J94">
        <v>7</v>
      </c>
    </row>
    <row r="95" spans="1:10" ht="14" hidden="1" x14ac:dyDescent="0.3">
      <c r="A95">
        <v>1092</v>
      </c>
      <c r="B95" t="s">
        <v>76</v>
      </c>
      <c r="C95" t="s">
        <v>11</v>
      </c>
      <c r="D95" t="s">
        <v>12</v>
      </c>
      <c r="E95" t="s">
        <v>13</v>
      </c>
      <c r="F95">
        <v>3</v>
      </c>
      <c r="G95">
        <v>59702</v>
      </c>
      <c r="H95">
        <v>179106</v>
      </c>
      <c r="I95" t="s">
        <v>30</v>
      </c>
      <c r="J95">
        <v>2</v>
      </c>
    </row>
    <row r="96" spans="1:10" ht="14" hidden="1" x14ac:dyDescent="0.3">
      <c r="A96">
        <v>1048</v>
      </c>
      <c r="B96" t="s">
        <v>25</v>
      </c>
      <c r="C96" t="s">
        <v>23</v>
      </c>
      <c r="D96" t="s">
        <v>16</v>
      </c>
      <c r="E96" t="s">
        <v>13</v>
      </c>
      <c r="F96">
        <v>1</v>
      </c>
      <c r="G96">
        <v>1403</v>
      </c>
      <c r="H96">
        <v>1403</v>
      </c>
      <c r="I96" t="s">
        <v>14</v>
      </c>
      <c r="J96">
        <v>4</v>
      </c>
    </row>
    <row r="97" spans="1:10" ht="14" x14ac:dyDescent="0.3">
      <c r="A97">
        <v>1035</v>
      </c>
      <c r="B97" t="s">
        <v>27</v>
      </c>
      <c r="C97" t="s">
        <v>11</v>
      </c>
      <c r="D97" t="s">
        <v>12</v>
      </c>
      <c r="E97" t="s">
        <v>13</v>
      </c>
      <c r="F97">
        <v>3</v>
      </c>
      <c r="G97">
        <v>61808</v>
      </c>
      <c r="H97">
        <v>185424</v>
      </c>
      <c r="I97" t="s">
        <v>21</v>
      </c>
      <c r="J97">
        <v>9</v>
      </c>
    </row>
    <row r="98" spans="1:10" ht="14" hidden="1" x14ac:dyDescent="0.3">
      <c r="A98">
        <v>1062</v>
      </c>
      <c r="B98" t="s">
        <v>63</v>
      </c>
      <c r="C98" t="s">
        <v>11</v>
      </c>
      <c r="D98" t="s">
        <v>12</v>
      </c>
      <c r="E98" t="s">
        <v>13</v>
      </c>
      <c r="F98">
        <v>4</v>
      </c>
      <c r="G98">
        <v>58417</v>
      </c>
      <c r="H98">
        <v>233668</v>
      </c>
      <c r="I98" t="s">
        <v>14</v>
      </c>
      <c r="J98">
        <v>10</v>
      </c>
    </row>
    <row r="99" spans="1:10" ht="14" x14ac:dyDescent="0.3">
      <c r="A99">
        <v>1033</v>
      </c>
      <c r="B99" t="s">
        <v>57</v>
      </c>
      <c r="C99" t="s">
        <v>32</v>
      </c>
      <c r="D99" t="s">
        <v>16</v>
      </c>
      <c r="E99" t="s">
        <v>13</v>
      </c>
      <c r="F99">
        <v>1</v>
      </c>
      <c r="G99">
        <v>1079</v>
      </c>
      <c r="H99">
        <v>1079</v>
      </c>
      <c r="I99" t="s">
        <v>21</v>
      </c>
      <c r="J99">
        <v>8</v>
      </c>
    </row>
    <row r="100" spans="1:10" ht="14" hidden="1" x14ac:dyDescent="0.3">
      <c r="A100">
        <v>1093</v>
      </c>
      <c r="B100" t="s">
        <v>18</v>
      </c>
      <c r="C100" t="s">
        <v>23</v>
      </c>
      <c r="D100" t="s">
        <v>36</v>
      </c>
      <c r="E100" t="s">
        <v>13</v>
      </c>
      <c r="F100">
        <v>1</v>
      </c>
      <c r="G100">
        <v>17</v>
      </c>
      <c r="H100">
        <v>17</v>
      </c>
      <c r="I100" t="s">
        <v>17</v>
      </c>
      <c r="J100">
        <v>4</v>
      </c>
    </row>
    <row r="101" spans="1:10" ht="14" hidden="1" x14ac:dyDescent="0.3">
      <c r="A101">
        <v>1001</v>
      </c>
      <c r="B101" t="s">
        <v>10</v>
      </c>
      <c r="C101" t="s">
        <v>11</v>
      </c>
      <c r="D101" t="s">
        <v>12</v>
      </c>
      <c r="E101" t="s">
        <v>13</v>
      </c>
      <c r="F101">
        <v>4</v>
      </c>
      <c r="G101">
        <v>60438</v>
      </c>
      <c r="H101">
        <v>241752</v>
      </c>
      <c r="I101" t="s">
        <v>14</v>
      </c>
      <c r="J101">
        <v>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4846-2EDA-4887-9771-9D2220B27AE5}">
  <dimension ref="B1:G9"/>
  <sheetViews>
    <sheetView topLeftCell="B1" workbookViewId="0">
      <selection activeCell="C3" sqref="C3"/>
    </sheetView>
  </sheetViews>
  <sheetFormatPr defaultRowHeight="14" x14ac:dyDescent="0.3"/>
  <cols>
    <col min="2" max="2" width="26.6640625" customWidth="1"/>
    <col min="3" max="3" width="19" customWidth="1"/>
    <col min="6" max="6" width="25.33203125" customWidth="1"/>
    <col min="7" max="7" width="28.1640625" customWidth="1"/>
  </cols>
  <sheetData>
    <row r="1" spans="2:7" x14ac:dyDescent="0.3">
      <c r="C1" s="10" t="s">
        <v>132</v>
      </c>
      <c r="D1" s="10"/>
      <c r="E1" s="10"/>
      <c r="F1" s="10"/>
    </row>
    <row r="3" spans="2:7" x14ac:dyDescent="0.3">
      <c r="B3" s="3" t="s">
        <v>90</v>
      </c>
      <c r="C3" s="3" t="s">
        <v>91</v>
      </c>
      <c r="F3" s="3" t="s">
        <v>98</v>
      </c>
      <c r="G3" s="3" t="s">
        <v>99</v>
      </c>
    </row>
    <row r="4" spans="2:7" ht="30" customHeight="1" x14ac:dyDescent="0.3">
      <c r="B4" s="4" t="s">
        <v>92</v>
      </c>
      <c r="C4" s="4">
        <v>100</v>
      </c>
      <c r="F4" s="4" t="s">
        <v>100</v>
      </c>
      <c r="G4" s="5" t="s">
        <v>105</v>
      </c>
    </row>
    <row r="5" spans="2:7" ht="39.5" customHeight="1" x14ac:dyDescent="0.3">
      <c r="B5" s="4" t="s">
        <v>93</v>
      </c>
      <c r="C5" s="4">
        <f>SUM(Retail_Sales_Data!H:H)</f>
        <v>4256396</v>
      </c>
      <c r="F5" s="4" t="s">
        <v>101</v>
      </c>
      <c r="G5" s="6" t="s">
        <v>106</v>
      </c>
    </row>
    <row r="6" spans="2:7" ht="28" customHeight="1" x14ac:dyDescent="0.3">
      <c r="B6" s="4" t="s">
        <v>94</v>
      </c>
      <c r="C6" s="4">
        <f>AVERAGE(Table1[Revenue])</f>
        <v>42563.96</v>
      </c>
      <c r="F6" s="4" t="s">
        <v>102</v>
      </c>
      <c r="G6" s="4" t="s">
        <v>11</v>
      </c>
    </row>
    <row r="7" spans="2:7" ht="22.5" customHeight="1" x14ac:dyDescent="0.3">
      <c r="B7" s="4" t="s">
        <v>95</v>
      </c>
      <c r="C7" s="4">
        <v>8</v>
      </c>
      <c r="F7" s="4" t="s">
        <v>103</v>
      </c>
      <c r="G7" s="4" t="s">
        <v>12</v>
      </c>
    </row>
    <row r="8" spans="2:7" ht="23.5" customHeight="1" x14ac:dyDescent="0.3">
      <c r="B8" s="4" t="s">
        <v>96</v>
      </c>
      <c r="C8" s="4">
        <v>4</v>
      </c>
      <c r="F8" s="4" t="s">
        <v>104</v>
      </c>
      <c r="G8" s="4" t="s">
        <v>21</v>
      </c>
    </row>
    <row r="9" spans="2:7" ht="23.5" customHeight="1" x14ac:dyDescent="0.3">
      <c r="B9" s="4" t="s">
        <v>97</v>
      </c>
      <c r="C9" s="4">
        <f>MAX(Table1[Revenue])</f>
        <v>241752</v>
      </c>
    </row>
  </sheetData>
  <mergeCells count="1">
    <mergeCell ref="C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E41C-D765-443A-9D9E-5789411746E0}">
  <dimension ref="C1:K26"/>
  <sheetViews>
    <sheetView topLeftCell="B1" zoomScale="70" zoomScaleNormal="70" workbookViewId="0">
      <selection activeCell="D29" sqref="D29"/>
    </sheetView>
  </sheetViews>
  <sheetFormatPr defaultRowHeight="14" x14ac:dyDescent="0.3"/>
  <cols>
    <col min="3" max="3" width="16.83203125" customWidth="1"/>
    <col min="4" max="4" width="18.25" customWidth="1"/>
    <col min="5" max="5" width="17.6640625" customWidth="1"/>
    <col min="6" max="6" width="19.9140625" customWidth="1"/>
    <col min="7" max="7" width="19.58203125" customWidth="1"/>
    <col min="8" max="8" width="10.1640625" customWidth="1"/>
  </cols>
  <sheetData>
    <row r="1" spans="3:11" ht="20" x14ac:dyDescent="0.4">
      <c r="C1" s="25" t="s">
        <v>113</v>
      </c>
      <c r="D1" s="25"/>
      <c r="G1" s="25" t="s">
        <v>119</v>
      </c>
      <c r="H1" s="26"/>
    </row>
    <row r="2" spans="3:11" x14ac:dyDescent="0.3">
      <c r="C2" s="7"/>
    </row>
    <row r="3" spans="3:11" ht="15.5" x14ac:dyDescent="0.3">
      <c r="C3" s="27" t="s">
        <v>107</v>
      </c>
      <c r="D3" s="27" t="s">
        <v>91</v>
      </c>
      <c r="G3" s="27" t="s">
        <v>90</v>
      </c>
      <c r="H3" s="27" t="s">
        <v>91</v>
      </c>
    </row>
    <row r="4" spans="3:11" ht="18" customHeight="1" x14ac:dyDescent="0.3">
      <c r="C4" s="4" t="s">
        <v>108</v>
      </c>
      <c r="D4" s="4">
        <f>AVERAGE(Table1[Revenue])</f>
        <v>42563.96</v>
      </c>
      <c r="G4" s="4" t="s">
        <v>114</v>
      </c>
      <c r="H4" s="4">
        <f>_xlfn.PERCENTILE.INC(Table1[Revenue],0.25)</f>
        <v>7805.5</v>
      </c>
    </row>
    <row r="5" spans="3:11" ht="19.5" customHeight="1" x14ac:dyDescent="0.3">
      <c r="C5" s="4" t="s">
        <v>109</v>
      </c>
      <c r="D5" s="4">
        <f>MEDIAN(Table1[Revenue])</f>
        <v>18906</v>
      </c>
      <c r="G5" s="4" t="s">
        <v>115</v>
      </c>
      <c r="H5" s="4">
        <f>_xlfn.PERCENTILE.INC(Table1[Revenue],0.5)</f>
        <v>18906</v>
      </c>
    </row>
    <row r="6" spans="3:11" ht="20" customHeight="1" x14ac:dyDescent="0.3">
      <c r="C6" s="4" t="s">
        <v>110</v>
      </c>
      <c r="D6" s="4">
        <f>MIN(Table1[Revenue])</f>
        <v>17</v>
      </c>
      <c r="G6" s="4" t="s">
        <v>116</v>
      </c>
      <c r="H6" s="4">
        <f>_xlfn.PERCENTILE.INC(Table1[Revenue],0.75)</f>
        <v>43536.75</v>
      </c>
    </row>
    <row r="7" spans="3:11" ht="18" customHeight="1" x14ac:dyDescent="0.3">
      <c r="C7" s="4" t="s">
        <v>111</v>
      </c>
      <c r="D7" s="4">
        <f>MAX(Table1[Revenue])</f>
        <v>241752</v>
      </c>
      <c r="G7" s="4" t="s">
        <v>117</v>
      </c>
      <c r="H7" s="4">
        <f>_xlfn.PERCENTILE.INC(Table1[Revenue],0.9)</f>
        <v>119471</v>
      </c>
    </row>
    <row r="8" spans="3:11" ht="18" customHeight="1" x14ac:dyDescent="0.4">
      <c r="C8" s="4" t="s">
        <v>112</v>
      </c>
      <c r="D8" s="4">
        <f>_xlfn.STDEV.P(Table1[Revenue])</f>
        <v>58392.451503070159</v>
      </c>
      <c r="G8" s="30" t="s">
        <v>99</v>
      </c>
      <c r="H8" s="11" t="s">
        <v>118</v>
      </c>
      <c r="I8" s="11"/>
      <c r="J8" s="11"/>
      <c r="K8" s="11"/>
    </row>
    <row r="10" spans="3:11" s="8" customFormat="1" ht="20" x14ac:dyDescent="0.4">
      <c r="E10" s="24" t="s">
        <v>120</v>
      </c>
      <c r="F10" s="24"/>
      <c r="G10" s="24"/>
    </row>
    <row r="12" spans="3:11" ht="15.5" x14ac:dyDescent="0.35">
      <c r="C12" s="27" t="s">
        <v>121</v>
      </c>
      <c r="D12" s="27" t="s">
        <v>122</v>
      </c>
      <c r="E12" s="28" t="s">
        <v>129</v>
      </c>
      <c r="F12" s="28" t="s">
        <v>130</v>
      </c>
      <c r="G12" s="29" t="s">
        <v>131</v>
      </c>
    </row>
    <row r="13" spans="3:11" x14ac:dyDescent="0.3">
      <c r="C13" s="2" t="s">
        <v>123</v>
      </c>
      <c r="D13" s="2">
        <f>COUNTIFS(Table1[Revenue],"&gt;=0",Table1[Revenue],"&lt;=10000")</f>
        <v>30</v>
      </c>
      <c r="E13" s="9">
        <f>D13/100</f>
        <v>0.3</v>
      </c>
      <c r="F13" s="7">
        <f>D13</f>
        <v>30</v>
      </c>
      <c r="G13" s="9">
        <f>F13/100</f>
        <v>0.3</v>
      </c>
    </row>
    <row r="14" spans="3:11" x14ac:dyDescent="0.3">
      <c r="C14" s="2" t="s">
        <v>124</v>
      </c>
      <c r="D14" s="2">
        <f>COUNTIFS(Table1[Revenue],"&gt;10000",Table1[Revenue],"&lt;=20000")</f>
        <v>20</v>
      </c>
      <c r="E14" s="9">
        <f t="shared" ref="E14:E18" si="0">D14/100</f>
        <v>0.2</v>
      </c>
      <c r="F14" s="7">
        <f>D13+D14</f>
        <v>50</v>
      </c>
      <c r="G14" s="9">
        <f t="shared" ref="G14:G18" si="1">F14/100</f>
        <v>0.5</v>
      </c>
    </row>
    <row r="15" spans="3:11" x14ac:dyDescent="0.3">
      <c r="C15" s="2" t="s">
        <v>125</v>
      </c>
      <c r="D15" s="2">
        <f>COUNTIFS(Table1[Revenue],"&gt;20000",Table1[Revenue],"&lt;=30000")</f>
        <v>12</v>
      </c>
      <c r="E15" s="9">
        <f t="shared" si="0"/>
        <v>0.12</v>
      </c>
      <c r="F15" s="7">
        <f>F14+D15</f>
        <v>62</v>
      </c>
      <c r="G15" s="9">
        <f t="shared" si="1"/>
        <v>0.62</v>
      </c>
    </row>
    <row r="16" spans="3:11" x14ac:dyDescent="0.3">
      <c r="C16" s="2" t="s">
        <v>126</v>
      </c>
      <c r="D16" s="2">
        <f>COUNTIFS(Table1[Revenue],"&gt;30000",Table1[Revenue],"&lt;=40000")</f>
        <v>6</v>
      </c>
      <c r="E16" s="9">
        <f t="shared" si="0"/>
        <v>0.06</v>
      </c>
      <c r="F16" s="7">
        <f t="shared" ref="F16:F18" si="2">F15+D16</f>
        <v>68</v>
      </c>
      <c r="G16" s="9">
        <f t="shared" si="1"/>
        <v>0.68</v>
      </c>
    </row>
    <row r="17" spans="3:7" x14ac:dyDescent="0.3">
      <c r="C17" s="2" t="s">
        <v>127</v>
      </c>
      <c r="D17" s="2">
        <f>COUNTIFS(Table1[Revenue],"&gt;40000",Table1[Revenue],"&lt;=50000")</f>
        <v>10</v>
      </c>
      <c r="E17" s="9">
        <f t="shared" si="0"/>
        <v>0.1</v>
      </c>
      <c r="F17" s="7">
        <f t="shared" si="2"/>
        <v>78</v>
      </c>
      <c r="G17" s="9">
        <f t="shared" si="1"/>
        <v>0.78</v>
      </c>
    </row>
    <row r="18" spans="3:7" x14ac:dyDescent="0.3">
      <c r="C18" s="2" t="s">
        <v>128</v>
      </c>
      <c r="D18" s="2">
        <f>COUNTIFS(Table1[Revenue],"&gt;50000")</f>
        <v>22</v>
      </c>
      <c r="E18" s="9">
        <f t="shared" si="0"/>
        <v>0.22</v>
      </c>
      <c r="F18" s="7">
        <f t="shared" si="2"/>
        <v>100</v>
      </c>
      <c r="G18" s="9">
        <f t="shared" si="1"/>
        <v>1</v>
      </c>
    </row>
    <row r="26" spans="3:7" x14ac:dyDescent="0.3">
      <c r="D26" s="12"/>
    </row>
  </sheetData>
  <mergeCells count="4">
    <mergeCell ref="C1:D1"/>
    <mergeCell ref="H8:K8"/>
    <mergeCell ref="G1:H1"/>
    <mergeCell ref="E10:G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3BE1-0780-4D64-9752-552081F6D0CC}">
  <dimension ref="D1:I11"/>
  <sheetViews>
    <sheetView topLeftCell="B1" workbookViewId="0">
      <selection activeCell="G20" sqref="G20"/>
    </sheetView>
  </sheetViews>
  <sheetFormatPr defaultRowHeight="14" x14ac:dyDescent="0.3"/>
  <cols>
    <col min="5" max="5" width="13.33203125" customWidth="1"/>
    <col min="6" max="6" width="14.6640625" customWidth="1"/>
    <col min="7" max="7" width="19.83203125" customWidth="1"/>
  </cols>
  <sheetData>
    <row r="1" spans="4:9" x14ac:dyDescent="0.3">
      <c r="D1" s="7"/>
      <c r="E1" s="7"/>
      <c r="F1" s="7"/>
      <c r="G1" s="7"/>
      <c r="H1" s="10" t="s">
        <v>133</v>
      </c>
      <c r="I1" s="10"/>
    </row>
    <row r="3" spans="4:9" ht="14.5" thickBot="1" x14ac:dyDescent="0.35">
      <c r="E3" s="13" t="s">
        <v>3</v>
      </c>
      <c r="F3" s="14" t="s">
        <v>93</v>
      </c>
      <c r="G3" s="14" t="s">
        <v>134</v>
      </c>
      <c r="H3" s="14" t="s">
        <v>131</v>
      </c>
    </row>
    <row r="4" spans="4:9" ht="14.5" thickTop="1" x14ac:dyDescent="0.3">
      <c r="E4" s="15" t="s">
        <v>12</v>
      </c>
      <c r="F4" s="16">
        <f>SUMIF(Table1[Product],E4,Table1[Revenue])</f>
        <v>2383243</v>
      </c>
      <c r="G4" s="16">
        <f>F4</f>
        <v>2383243</v>
      </c>
      <c r="H4" s="21">
        <f>G4/$G$11</f>
        <v>0.55992041154065553</v>
      </c>
    </row>
    <row r="5" spans="4:9" x14ac:dyDescent="0.3">
      <c r="E5" s="17" t="s">
        <v>38</v>
      </c>
      <c r="F5" s="18">
        <f>SUMIF(Table1[Product],E5,Table1[Revenue])</f>
        <v>534760</v>
      </c>
      <c r="G5" s="18">
        <f>G4+F5</f>
        <v>2918003</v>
      </c>
      <c r="H5" s="22">
        <f t="shared" ref="H5:H11" si="0">G5/$G$11</f>
        <v>0.68555721789044066</v>
      </c>
    </row>
    <row r="6" spans="4:9" x14ac:dyDescent="0.3">
      <c r="E6" s="19" t="s">
        <v>24</v>
      </c>
      <c r="F6" s="20">
        <f>SUMIF(Table1[Product],E6,Table1[Revenue])</f>
        <v>506246</v>
      </c>
      <c r="G6" s="18">
        <f t="shared" ref="G6:G11" si="1">G5+F6</f>
        <v>3424249</v>
      </c>
      <c r="H6" s="23">
        <f t="shared" si="0"/>
        <v>0.80449492951313739</v>
      </c>
    </row>
    <row r="7" spans="4:9" x14ac:dyDescent="0.3">
      <c r="E7" s="17" t="s">
        <v>55</v>
      </c>
      <c r="F7" s="18">
        <f>SUMIF(Table1[Product],E7,Table1[Revenue])</f>
        <v>470654</v>
      </c>
      <c r="G7" s="18">
        <f t="shared" si="1"/>
        <v>3894903</v>
      </c>
      <c r="H7" s="22">
        <f t="shared" si="0"/>
        <v>0.91507063722454396</v>
      </c>
    </row>
    <row r="8" spans="4:9" x14ac:dyDescent="0.3">
      <c r="E8" s="19" t="s">
        <v>28</v>
      </c>
      <c r="F8" s="20">
        <f>SUMIF(Table1[Product],E8,Table1[Revenue])</f>
        <v>150990</v>
      </c>
      <c r="G8" s="18">
        <f t="shared" si="1"/>
        <v>4045893</v>
      </c>
      <c r="H8" s="23">
        <f t="shared" si="0"/>
        <v>0.95054431025684638</v>
      </c>
    </row>
    <row r="9" spans="4:9" x14ac:dyDescent="0.3">
      <c r="E9" s="17" t="s">
        <v>16</v>
      </c>
      <c r="F9" s="18">
        <f>SUMIF(Table1[Product],E9,Table1[Revenue])</f>
        <v>107490</v>
      </c>
      <c r="G9" s="18">
        <f t="shared" si="1"/>
        <v>4153383</v>
      </c>
      <c r="H9" s="22">
        <f t="shared" si="0"/>
        <v>0.97579806954052206</v>
      </c>
    </row>
    <row r="10" spans="4:9" x14ac:dyDescent="0.3">
      <c r="E10" s="19" t="s">
        <v>19</v>
      </c>
      <c r="F10" s="20">
        <f>SUMIF(Table1[Product],E10,Table1[Revenue])</f>
        <v>73447</v>
      </c>
      <c r="G10" s="18">
        <f t="shared" si="1"/>
        <v>4226830</v>
      </c>
      <c r="H10" s="23">
        <f t="shared" si="0"/>
        <v>0.99305374781857703</v>
      </c>
    </row>
    <row r="11" spans="4:9" x14ac:dyDescent="0.3">
      <c r="E11" s="17" t="s">
        <v>36</v>
      </c>
      <c r="F11" s="18">
        <f>SUMIF(Table1[Product],E11,Table1[Revenue])</f>
        <v>29566</v>
      </c>
      <c r="G11" s="18">
        <f t="shared" si="1"/>
        <v>4256396</v>
      </c>
      <c r="H11" s="22">
        <f t="shared" si="0"/>
        <v>1</v>
      </c>
    </row>
  </sheetData>
  <mergeCells count="1">
    <mergeCell ref="H1:I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3797-16BB-46F0-9066-97C9454CE24F}">
  <dimension ref="B2:L13"/>
  <sheetViews>
    <sheetView topLeftCell="B1" zoomScaleNormal="100" workbookViewId="0">
      <selection activeCell="C9" sqref="C9"/>
    </sheetView>
  </sheetViews>
  <sheetFormatPr defaultRowHeight="14" x14ac:dyDescent="0.3"/>
  <cols>
    <col min="1" max="1" width="8"/>
    <col min="2" max="2" width="12.33203125" customWidth="1"/>
    <col min="3" max="3" width="14.33203125" customWidth="1"/>
    <col min="5" max="5" width="12.33203125" customWidth="1"/>
    <col min="6" max="6" width="14.5" customWidth="1"/>
    <col min="8" max="8" width="12.33203125" customWidth="1"/>
    <col min="9" max="9" width="14.33203125" customWidth="1"/>
    <col min="11" max="11" width="12.33203125" customWidth="1"/>
    <col min="12" max="12" width="15.33203125" customWidth="1"/>
  </cols>
  <sheetData>
    <row r="2" spans="2:12" x14ac:dyDescent="0.3">
      <c r="B2" s="10" t="s">
        <v>138</v>
      </c>
      <c r="C2" s="10"/>
      <c r="E2" s="10" t="s">
        <v>140</v>
      </c>
      <c r="F2" s="10"/>
      <c r="H2" s="10" t="s">
        <v>141</v>
      </c>
      <c r="I2" s="10"/>
      <c r="K2" s="10" t="s">
        <v>143</v>
      </c>
      <c r="L2" s="10"/>
    </row>
    <row r="4" spans="2:12" x14ac:dyDescent="0.3">
      <c r="B4" s="31" t="s">
        <v>135</v>
      </c>
      <c r="C4" t="s">
        <v>137</v>
      </c>
      <c r="E4" s="31" t="s">
        <v>135</v>
      </c>
      <c r="F4" t="s">
        <v>139</v>
      </c>
      <c r="H4" s="31" t="s">
        <v>135</v>
      </c>
      <c r="I4" t="s">
        <v>137</v>
      </c>
      <c r="K4" s="31" t="s">
        <v>135</v>
      </c>
      <c r="L4" t="s">
        <v>142</v>
      </c>
    </row>
    <row r="5" spans="2:12" x14ac:dyDescent="0.3">
      <c r="B5" s="32" t="s">
        <v>26</v>
      </c>
      <c r="C5" s="33">
        <v>622521</v>
      </c>
      <c r="E5" s="32" t="s">
        <v>19</v>
      </c>
      <c r="F5" s="33">
        <v>24</v>
      </c>
      <c r="H5" s="32" t="s">
        <v>13</v>
      </c>
      <c r="I5" s="33">
        <v>4031959</v>
      </c>
      <c r="K5" s="32" t="s">
        <v>21</v>
      </c>
      <c r="L5" s="33">
        <v>27</v>
      </c>
    </row>
    <row r="6" spans="2:12" x14ac:dyDescent="0.3">
      <c r="B6" s="32" t="s">
        <v>11</v>
      </c>
      <c r="C6" s="33">
        <v>1330357</v>
      </c>
      <c r="E6" s="32" t="s">
        <v>16</v>
      </c>
      <c r="F6" s="33">
        <v>32</v>
      </c>
      <c r="H6" s="32" t="s">
        <v>20</v>
      </c>
      <c r="I6" s="33">
        <v>224437</v>
      </c>
      <c r="K6" s="32" t="s">
        <v>14</v>
      </c>
      <c r="L6" s="33">
        <v>31</v>
      </c>
    </row>
    <row r="7" spans="2:12" x14ac:dyDescent="0.3">
      <c r="B7" s="32" t="s">
        <v>32</v>
      </c>
      <c r="C7" s="33">
        <v>1034771</v>
      </c>
      <c r="E7" s="32" t="s">
        <v>36</v>
      </c>
      <c r="F7" s="33">
        <v>20</v>
      </c>
      <c r="H7" s="32" t="s">
        <v>136</v>
      </c>
      <c r="I7" s="33">
        <v>4256396</v>
      </c>
      <c r="K7" s="32" t="s">
        <v>17</v>
      </c>
      <c r="L7" s="33">
        <v>25</v>
      </c>
    </row>
    <row r="8" spans="2:12" x14ac:dyDescent="0.3">
      <c r="B8" s="32" t="s">
        <v>23</v>
      </c>
      <c r="C8" s="33">
        <v>1268747</v>
      </c>
      <c r="E8" s="32" t="s">
        <v>12</v>
      </c>
      <c r="F8" s="33">
        <v>40</v>
      </c>
      <c r="K8" s="32" t="s">
        <v>30</v>
      </c>
      <c r="L8" s="33">
        <v>17</v>
      </c>
    </row>
    <row r="9" spans="2:12" x14ac:dyDescent="0.3">
      <c r="B9" s="32" t="s">
        <v>136</v>
      </c>
      <c r="C9" s="33">
        <v>4256396</v>
      </c>
      <c r="E9" s="32" t="s">
        <v>55</v>
      </c>
      <c r="F9" s="33">
        <v>31</v>
      </c>
      <c r="K9" s="32" t="s">
        <v>136</v>
      </c>
      <c r="L9" s="33">
        <v>100</v>
      </c>
    </row>
    <row r="10" spans="2:12" x14ac:dyDescent="0.3">
      <c r="E10" s="32" t="s">
        <v>38</v>
      </c>
      <c r="F10" s="33">
        <v>27</v>
      </c>
    </row>
    <row r="11" spans="2:12" x14ac:dyDescent="0.3">
      <c r="E11" s="32" t="s">
        <v>24</v>
      </c>
      <c r="F11" s="33">
        <v>43</v>
      </c>
    </row>
    <row r="12" spans="2:12" x14ac:dyDescent="0.3">
      <c r="E12" s="32" t="s">
        <v>28</v>
      </c>
      <c r="F12" s="33">
        <v>32</v>
      </c>
    </row>
    <row r="13" spans="2:12" x14ac:dyDescent="0.3">
      <c r="E13" s="32" t="s">
        <v>136</v>
      </c>
      <c r="F13" s="33">
        <v>249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3B56-4D19-4356-9342-6905799EB40E}">
  <dimension ref="B4:G5"/>
  <sheetViews>
    <sheetView showGridLines="0" tabSelected="1" zoomScale="66" zoomScaleNormal="70" workbookViewId="0">
      <selection sqref="A1:XFD1048576"/>
    </sheetView>
  </sheetViews>
  <sheetFormatPr defaultRowHeight="14" x14ac:dyDescent="0.3"/>
  <cols>
    <col min="1" max="6" width="8.6640625" style="34"/>
    <col min="7" max="7" width="8.6640625" style="35"/>
    <col min="8" max="16384" width="8.6640625" style="34"/>
  </cols>
  <sheetData>
    <row r="4" spans="2:7" s="34" customFormat="1" x14ac:dyDescent="0.3">
      <c r="G4" s="35"/>
    </row>
    <row r="5" spans="2:7" s="34" customFormat="1" x14ac:dyDescent="0.3">
      <c r="B5" s="36"/>
      <c r="G5" s="3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Retail_Sales_Data</vt:lpstr>
      <vt:lpstr>Data Exploration</vt:lpstr>
      <vt:lpstr>Statistical Summary </vt:lpstr>
      <vt:lpstr>Pareto Anlysis</vt:lpstr>
      <vt:lpstr>Pivot Analysis 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kasthuri shakthi</cp:lastModifiedBy>
  <dcterms:created xsi:type="dcterms:W3CDTF">2026-04-05T02:42:31Z</dcterms:created>
  <dcterms:modified xsi:type="dcterms:W3CDTF">2026-04-05T09:02:10Z</dcterms:modified>
</cp:coreProperties>
</file>